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1368\Desktop\庞尚韬备用金使用情况\"/>
    </mc:Choice>
  </mc:AlternateContent>
  <xr:revisionPtr revIDLastSave="0" documentId="13_ncr:1_{11249A2F-8A2E-4CA3-9BAA-CC6A7DED155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合计" sheetId="8" r:id="rId1"/>
    <sheet name="民工工资" sheetId="7" r:id="rId2"/>
    <sheet name="酒店" sheetId="6" r:id="rId3"/>
    <sheet name="差旅" sheetId="5" r:id="rId4"/>
    <sheet name="加油" sheetId="4" r:id="rId5"/>
    <sheet name="餐费" sheetId="3" r:id="rId6"/>
    <sheet name="其他" sheetId="2" r:id="rId7"/>
    <sheet name="无发票（全部计入5月份工资）" sheetId="9" r:id="rId8"/>
    <sheet name="行政类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7" l="1"/>
  <c r="D8" i="8"/>
  <c r="C23" i="9"/>
  <c r="C19" i="2" l="1"/>
  <c r="D1" i="8" s="1"/>
  <c r="C24" i="7" l="1"/>
  <c r="D7" i="8" s="1"/>
  <c r="D9" i="8" s="1"/>
  <c r="E11" i="8" s="1"/>
  <c r="C18" i="6"/>
  <c r="D5" i="8" s="1"/>
  <c r="C47" i="5"/>
  <c r="D4" i="8" s="1"/>
  <c r="C10" i="4"/>
  <c r="D3" i="8" s="1"/>
  <c r="C8" i="3"/>
  <c r="D2" i="8" s="1"/>
  <c r="C5" i="1"/>
  <c r="D6" i="8" s="1"/>
</calcChain>
</file>

<file path=xl/sharedStrings.xml><?xml version="1.0" encoding="utf-8"?>
<sst xmlns="http://schemas.openxmlformats.org/spreadsheetml/2006/main" count="252" uniqueCount="176">
  <si>
    <t>2026.3.12</t>
    <phoneticPr fontId="2" type="noConversion"/>
  </si>
  <si>
    <t>扫描打印</t>
    <phoneticPr fontId="2" type="noConversion"/>
  </si>
  <si>
    <t>宽带费</t>
    <phoneticPr fontId="2" type="noConversion"/>
  </si>
  <si>
    <t>无发票</t>
    <phoneticPr fontId="2" type="noConversion"/>
  </si>
  <si>
    <t>打扫卫生</t>
    <phoneticPr fontId="2" type="noConversion"/>
  </si>
  <si>
    <t>租金（住宿）</t>
    <phoneticPr fontId="2" type="noConversion"/>
  </si>
  <si>
    <t>付给袁朝国无发票（半年）</t>
    <phoneticPr fontId="2" type="noConversion"/>
  </si>
  <si>
    <t>车辆购置税</t>
    <phoneticPr fontId="2" type="noConversion"/>
  </si>
  <si>
    <t>完税凭证</t>
    <phoneticPr fontId="2" type="noConversion"/>
  </si>
  <si>
    <t>保费（中华联合）</t>
    <phoneticPr fontId="2" type="noConversion"/>
  </si>
  <si>
    <t>打印给向县政府等报告6份+文件夹</t>
    <phoneticPr fontId="2" type="noConversion"/>
  </si>
  <si>
    <t>买日用品</t>
    <phoneticPr fontId="2" type="noConversion"/>
  </si>
  <si>
    <t>买桌子椅子</t>
    <phoneticPr fontId="2" type="noConversion"/>
  </si>
  <si>
    <t>买日用</t>
    <phoneticPr fontId="2" type="noConversion"/>
  </si>
  <si>
    <t>方便面等食品</t>
    <phoneticPr fontId="2" type="noConversion"/>
  </si>
  <si>
    <t>餐桌和凳子（四把）</t>
    <phoneticPr fontId="2" type="noConversion"/>
  </si>
  <si>
    <t>买菜高压锅</t>
    <phoneticPr fontId="2" type="noConversion"/>
  </si>
  <si>
    <t>买文具</t>
    <phoneticPr fontId="2" type="noConversion"/>
  </si>
  <si>
    <t>大衣、鞋子</t>
    <phoneticPr fontId="2" type="noConversion"/>
  </si>
  <si>
    <t>啤酒2箱（袁朝国）</t>
    <phoneticPr fontId="2" type="noConversion"/>
  </si>
  <si>
    <t>蛏子+虾干</t>
    <phoneticPr fontId="2" type="noConversion"/>
  </si>
  <si>
    <t>王霞/77</t>
    <phoneticPr fontId="2" type="noConversion"/>
  </si>
  <si>
    <t>超市买菜及增添碗具（为老杨带来甘肃熟练工生活准备 ）</t>
    <phoneticPr fontId="2" type="noConversion"/>
  </si>
  <si>
    <t>农药</t>
    <phoneticPr fontId="2" type="noConversion"/>
  </si>
  <si>
    <t>黄勇修水管</t>
    <phoneticPr fontId="2" type="noConversion"/>
  </si>
  <si>
    <t>卸货机械费</t>
    <phoneticPr fontId="2" type="noConversion"/>
  </si>
  <si>
    <t>两台设备运输费</t>
    <phoneticPr fontId="2" type="noConversion"/>
  </si>
  <si>
    <t>塑料布等（盖机械）</t>
    <phoneticPr fontId="2" type="noConversion"/>
  </si>
  <si>
    <t>地膜卸货费</t>
    <phoneticPr fontId="2" type="noConversion"/>
  </si>
  <si>
    <t>无发票给村小金（文书）</t>
    <phoneticPr fontId="2" type="noConversion"/>
  </si>
  <si>
    <t>地膜运费</t>
    <phoneticPr fontId="2" type="noConversion"/>
  </si>
  <si>
    <t>转任总，任总支付对方/71</t>
    <phoneticPr fontId="2" type="noConversion"/>
  </si>
  <si>
    <t>海棠镇午餐</t>
  </si>
  <si>
    <t>2026.3.7</t>
    <phoneticPr fontId="2" type="noConversion"/>
  </si>
  <si>
    <t>请杨总、蒋总吃饭</t>
    <phoneticPr fontId="2" type="noConversion"/>
  </si>
  <si>
    <t>晚餐（庞陈任）海棠镇小杨饭店</t>
    <phoneticPr fontId="2" type="noConversion"/>
  </si>
  <si>
    <t>午餐（庞陈任+拖拉机师傅）</t>
    <phoneticPr fontId="2" type="noConversion"/>
  </si>
  <si>
    <t>晚餐（庞陈任）维也纳隔壁饭店</t>
    <phoneticPr fontId="2" type="noConversion"/>
  </si>
  <si>
    <t>餐费（老杨三个+任+庞）</t>
    <phoneticPr fontId="2" type="noConversion"/>
  </si>
  <si>
    <t>4.28晚饭与蒋总甘洛火锅</t>
    <phoneticPr fontId="2" type="noConversion"/>
  </si>
  <si>
    <t>4.27-30餐费</t>
    <phoneticPr fontId="2" type="noConversion"/>
  </si>
  <si>
    <t>4.27-4.30午餐含农投小杨/蒋总等</t>
    <phoneticPr fontId="2" type="noConversion"/>
  </si>
  <si>
    <t>5.1/5.2</t>
    <phoneticPr fontId="2" type="noConversion"/>
  </si>
  <si>
    <t>餐费 （庞任）</t>
    <phoneticPr fontId="2" type="noConversion"/>
  </si>
  <si>
    <t>中餐</t>
    <phoneticPr fontId="2" type="noConversion"/>
  </si>
  <si>
    <t>任、杨师傅甘肃、施前华，庞/84</t>
    <phoneticPr fontId="2" type="noConversion"/>
  </si>
  <si>
    <t>晚饭请汪常委、林主任等8人</t>
    <phoneticPr fontId="2" type="noConversion"/>
  </si>
  <si>
    <t>午饭：任总/杨师傅/庞</t>
    <phoneticPr fontId="2" type="noConversion"/>
  </si>
  <si>
    <t>中石油加油</t>
  </si>
  <si>
    <t>去成都看车油费</t>
    <phoneticPr fontId="2" type="noConversion"/>
  </si>
  <si>
    <t>加油300（杨总车）</t>
    <phoneticPr fontId="2" type="noConversion"/>
  </si>
  <si>
    <t>加油 （柴油）</t>
    <phoneticPr fontId="2" type="noConversion"/>
  </si>
  <si>
    <t>新车第一次加油</t>
    <phoneticPr fontId="2" type="noConversion"/>
  </si>
  <si>
    <t>加油</t>
    <phoneticPr fontId="2" type="noConversion"/>
  </si>
  <si>
    <t>油费</t>
    <phoneticPr fontId="2" type="noConversion"/>
  </si>
  <si>
    <t>2025.12.12</t>
    <phoneticPr fontId="2" type="noConversion"/>
  </si>
  <si>
    <t>崇州-成都西</t>
  </si>
  <si>
    <t>成都西-甘洛</t>
  </si>
  <si>
    <t>2025.12.14</t>
    <phoneticPr fontId="2" type="noConversion"/>
  </si>
  <si>
    <t>甘洛-成都南</t>
  </si>
  <si>
    <t>成都南-崇州</t>
  </si>
  <si>
    <t>2026.1.9</t>
    <phoneticPr fontId="2" type="noConversion"/>
  </si>
  <si>
    <t>宁波栎社-西昌青山（机票）</t>
  </si>
  <si>
    <t>宁波栎社-西昌青山</t>
  </si>
  <si>
    <t>西昌-甘洛</t>
  </si>
  <si>
    <t>2026.1.10</t>
    <phoneticPr fontId="2" type="noConversion"/>
  </si>
  <si>
    <t>甘洛-峨边南</t>
  </si>
  <si>
    <t>峨边南-成都南</t>
  </si>
  <si>
    <t>火车票 西昌-甘洛</t>
  </si>
  <si>
    <t>2026.3.2</t>
    <phoneticPr fontId="2" type="noConversion"/>
  </si>
  <si>
    <t>宁波-西昌</t>
    <phoneticPr fontId="2" type="noConversion"/>
  </si>
  <si>
    <t>2026.3.9</t>
    <phoneticPr fontId="2" type="noConversion"/>
  </si>
  <si>
    <t>火车票 甘洛南-成都南</t>
  </si>
  <si>
    <t>火车票 成都南-崇州</t>
  </si>
  <si>
    <t>去成都看车</t>
    <phoneticPr fontId="2" type="noConversion"/>
  </si>
  <si>
    <t>崇州住址-火车站打车</t>
    <phoneticPr fontId="2" type="noConversion"/>
  </si>
  <si>
    <t>崇州-西昌</t>
    <phoneticPr fontId="2" type="noConversion"/>
  </si>
  <si>
    <t>31（1，2）</t>
    <phoneticPr fontId="2" type="noConversion"/>
  </si>
  <si>
    <t>西昌西站-酒店打车</t>
    <phoneticPr fontId="2" type="noConversion"/>
  </si>
  <si>
    <t>酒店-农行打车</t>
    <phoneticPr fontId="2" type="noConversion"/>
  </si>
  <si>
    <t>农行-行政服务中心打车</t>
    <phoneticPr fontId="2" type="noConversion"/>
  </si>
  <si>
    <t>行政服务中心-农行打车</t>
    <phoneticPr fontId="2" type="noConversion"/>
  </si>
  <si>
    <t>西昌维也纳-行政服务中心</t>
    <phoneticPr fontId="2" type="noConversion"/>
  </si>
  <si>
    <t>行政服务中心-西昌西站</t>
    <phoneticPr fontId="2" type="noConversion"/>
  </si>
  <si>
    <t>甘洛-崇州</t>
    <phoneticPr fontId="2" type="noConversion"/>
  </si>
  <si>
    <t>52/53/54</t>
    <phoneticPr fontId="2" type="noConversion"/>
  </si>
  <si>
    <t>50/51</t>
    <phoneticPr fontId="2" type="noConversion"/>
  </si>
  <si>
    <t>西昌西-你好酒店</t>
    <phoneticPr fontId="2" type="noConversion"/>
  </si>
  <si>
    <t>你好酒店-传祺4S店</t>
    <phoneticPr fontId="2" type="noConversion"/>
  </si>
  <si>
    <t>传奇4S-你好酒店</t>
    <phoneticPr fontId="2" type="noConversion"/>
  </si>
  <si>
    <t>回崇州</t>
    <phoneticPr fontId="2" type="noConversion"/>
  </si>
  <si>
    <t>57/58</t>
    <phoneticPr fontId="2" type="noConversion"/>
  </si>
  <si>
    <t>回宁海</t>
    <phoneticPr fontId="2" type="noConversion"/>
  </si>
  <si>
    <t>宁海到宁波栎社机场（顺风车）</t>
    <phoneticPr fontId="2" type="noConversion"/>
  </si>
  <si>
    <t>68/69/70</t>
    <phoneticPr fontId="2" type="noConversion"/>
  </si>
  <si>
    <t>崇州-甘洛</t>
    <phoneticPr fontId="2" type="noConversion"/>
  </si>
  <si>
    <t>81（1/2）</t>
    <phoneticPr fontId="2" type="noConversion"/>
  </si>
  <si>
    <t>80（1/2）</t>
    <phoneticPr fontId="2" type="noConversion"/>
  </si>
  <si>
    <t>崇州到甘洛</t>
    <phoneticPr fontId="2" type="noConversion"/>
  </si>
  <si>
    <t>86（1/2）</t>
    <phoneticPr fontId="2" type="noConversion"/>
  </si>
  <si>
    <t>海棠-甘洛</t>
    <phoneticPr fontId="2" type="noConversion"/>
  </si>
  <si>
    <t>甘洛-甘洛南打车</t>
    <phoneticPr fontId="2" type="noConversion"/>
  </si>
  <si>
    <t>甘洛南-西昌</t>
    <phoneticPr fontId="2" type="noConversion"/>
  </si>
  <si>
    <t>西昌西-维也纳</t>
    <phoneticPr fontId="2" type="noConversion"/>
  </si>
  <si>
    <t>维也纳-西昌西</t>
    <phoneticPr fontId="2" type="noConversion"/>
  </si>
  <si>
    <t>西昌西-成都南</t>
    <phoneticPr fontId="2" type="noConversion"/>
  </si>
  <si>
    <t>88（1/2）</t>
    <phoneticPr fontId="2" type="noConversion"/>
  </si>
  <si>
    <t>成都南-崇州</t>
    <phoneticPr fontId="2" type="noConversion"/>
  </si>
  <si>
    <t>崇州-成都双流机场顺风车</t>
    <phoneticPr fontId="2" type="noConversion"/>
  </si>
  <si>
    <t>双流机场-宁波栎社机场</t>
    <phoneticPr fontId="2" type="noConversion"/>
  </si>
  <si>
    <t>93-95</t>
    <phoneticPr fontId="2" type="noConversion"/>
  </si>
  <si>
    <t>栎社机场-宁海顺风车</t>
    <phoneticPr fontId="2" type="noConversion"/>
  </si>
  <si>
    <t>支付甘肃老杨住宿差旅费等</t>
    <phoneticPr fontId="2" type="noConversion"/>
  </si>
  <si>
    <t>5.1支付</t>
    <phoneticPr fontId="2" type="noConversion"/>
  </si>
  <si>
    <t>2026.3.4</t>
    <phoneticPr fontId="2" type="noConversion"/>
  </si>
  <si>
    <t>西昌附近酒店</t>
    <phoneticPr fontId="2" type="noConversion"/>
  </si>
  <si>
    <t>甘洛维也纳</t>
    <phoneticPr fontId="2" type="noConversion"/>
  </si>
  <si>
    <t>2026.3.8</t>
    <phoneticPr fontId="2" type="noConversion"/>
  </si>
  <si>
    <t>2026.3.6</t>
    <phoneticPr fontId="2" type="noConversion"/>
  </si>
  <si>
    <t>西昌维也纳</t>
    <phoneticPr fontId="2" type="noConversion"/>
  </si>
  <si>
    <t>2026.3.5</t>
    <phoneticPr fontId="2" type="noConversion"/>
  </si>
  <si>
    <t>2026.12.13</t>
    <phoneticPr fontId="2" type="noConversion"/>
  </si>
  <si>
    <t>维也纳（甘洛庞任）</t>
    <phoneticPr fontId="2" type="noConversion"/>
  </si>
  <si>
    <t>维也纳</t>
    <phoneticPr fontId="2" type="noConversion"/>
  </si>
  <si>
    <t>出差补贴 350，不报销/82</t>
    <phoneticPr fontId="2" type="noConversion"/>
  </si>
  <si>
    <t>属于外勤350不报销</t>
    <phoneticPr fontId="2" type="noConversion"/>
  </si>
  <si>
    <t>维也纳钟点房休息（庞任）</t>
    <phoneticPr fontId="2" type="noConversion"/>
  </si>
  <si>
    <t>金银花、化肥、栽种机卸货工人工资 （120*6）</t>
    <phoneticPr fontId="2" type="noConversion"/>
  </si>
  <si>
    <t>金银花种植</t>
    <phoneticPr fontId="2" type="noConversion"/>
  </si>
  <si>
    <t>金银花种植工资（现金）</t>
    <phoneticPr fontId="2" type="noConversion"/>
  </si>
  <si>
    <t>党参种苗卸货5个人（现金）</t>
    <phoneticPr fontId="2" type="noConversion"/>
  </si>
  <si>
    <t>临时工</t>
    <phoneticPr fontId="2" type="noConversion"/>
  </si>
  <si>
    <t>党参运输费（现金）</t>
    <phoneticPr fontId="2" type="noConversion"/>
  </si>
  <si>
    <t>施前华3.24拉金银花+人工</t>
    <phoneticPr fontId="2" type="noConversion"/>
  </si>
  <si>
    <t>施前华3.25拉金银花+人工</t>
    <phoneticPr fontId="2" type="noConversion"/>
  </si>
  <si>
    <t>租车费叶书记（现金1200）</t>
    <phoneticPr fontId="2" type="noConversion"/>
  </si>
  <si>
    <t>无发票【其中100是加油费】</t>
    <phoneticPr fontId="2" type="noConversion"/>
  </si>
  <si>
    <t>金银花种植 人工</t>
    <phoneticPr fontId="2" type="noConversion"/>
  </si>
  <si>
    <t>黄芪种植人工</t>
    <phoneticPr fontId="2" type="noConversion"/>
  </si>
  <si>
    <t>捡石头拖拉机</t>
    <phoneticPr fontId="2" type="noConversion"/>
  </si>
  <si>
    <t>捡石头人工费</t>
    <phoneticPr fontId="2" type="noConversion"/>
  </si>
  <si>
    <t>打农药人工费</t>
    <phoneticPr fontId="2" type="noConversion"/>
  </si>
  <si>
    <t>农民工资</t>
    <phoneticPr fontId="2" type="noConversion"/>
  </si>
  <si>
    <t>无发票（庞不在交陈总发）</t>
    <phoneticPr fontId="2" type="noConversion"/>
  </si>
  <si>
    <t>临时三轮车运当归和独活种苗</t>
    <phoneticPr fontId="2" type="noConversion"/>
  </si>
  <si>
    <t>之前独活扫尾3个人半工</t>
    <phoneticPr fontId="2" type="noConversion"/>
  </si>
  <si>
    <t>拖拉机：1、人工工资：200；2、油费：400；3.播种机与拖拉机配件220</t>
    <phoneticPr fontId="2" type="noConversion"/>
  </si>
  <si>
    <t>施前华：4.4、4.6、4.7打药3天3人：1080；4.4购买农药520；设备运输：300；山坡地块处理杂草500</t>
    <phoneticPr fontId="2" type="noConversion"/>
  </si>
  <si>
    <t>支付村文书种植期间工资9天*60</t>
    <phoneticPr fontId="2" type="noConversion"/>
  </si>
  <si>
    <t>支付种植结束后场地整理</t>
    <phoneticPr fontId="2" type="noConversion"/>
  </si>
  <si>
    <t>支付施前华安排组织的人工等</t>
    <phoneticPr fontId="2" type="noConversion"/>
  </si>
  <si>
    <t>其他</t>
    <phoneticPr fontId="2" type="noConversion"/>
  </si>
  <si>
    <t>餐费</t>
    <phoneticPr fontId="2" type="noConversion"/>
  </si>
  <si>
    <t>差旅</t>
    <phoneticPr fontId="2" type="noConversion"/>
  </si>
  <si>
    <t>酒店</t>
    <phoneticPr fontId="2" type="noConversion"/>
  </si>
  <si>
    <t>工资</t>
    <phoneticPr fontId="2" type="noConversion"/>
  </si>
  <si>
    <t>行政</t>
    <phoneticPr fontId="2" type="noConversion"/>
  </si>
  <si>
    <t>备用金合计</t>
    <phoneticPr fontId="2" type="noConversion"/>
  </si>
  <si>
    <t>第一次</t>
    <phoneticPr fontId="2" type="noConversion"/>
  </si>
  <si>
    <t>第二次</t>
    <phoneticPr fontId="2" type="noConversion"/>
  </si>
  <si>
    <t>第三次</t>
    <phoneticPr fontId="2" type="noConversion"/>
  </si>
  <si>
    <t>第四次</t>
    <phoneticPr fontId="2" type="noConversion"/>
  </si>
  <si>
    <t>第五次</t>
    <phoneticPr fontId="2" type="noConversion"/>
  </si>
  <si>
    <t>第六次（5.1）</t>
    <phoneticPr fontId="2" type="noConversion"/>
  </si>
  <si>
    <t>农户收的钱（施前华）</t>
    <phoneticPr fontId="2" type="noConversion"/>
  </si>
  <si>
    <t>收张书记</t>
    <phoneticPr fontId="2" type="noConversion"/>
  </si>
  <si>
    <t>任总购买我支付（其中120为买菜等支出）/97</t>
    <phoneticPr fontId="2" type="noConversion"/>
  </si>
  <si>
    <t xml:space="preserve"> </t>
    <phoneticPr fontId="2" type="noConversion"/>
  </si>
  <si>
    <t>日期</t>
    <phoneticPr fontId="2" type="noConversion"/>
  </si>
  <si>
    <t>金额</t>
    <phoneticPr fontId="2" type="noConversion"/>
  </si>
  <si>
    <t>发票对应的文件编号</t>
    <phoneticPr fontId="2" type="noConversion"/>
  </si>
  <si>
    <t>5.1支付/无发票</t>
    <phoneticPr fontId="2" type="noConversion"/>
  </si>
  <si>
    <t>保费1.2（缺250，车船税没票）</t>
    <phoneticPr fontId="2" type="noConversion"/>
  </si>
  <si>
    <t>无发票计入5月份工资</t>
    <phoneticPr fontId="2" type="noConversion"/>
  </si>
  <si>
    <t>备用金余额</t>
    <phoneticPr fontId="2" type="noConversion"/>
  </si>
  <si>
    <t>全部在3/4月月份工资清单中已经列支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</si>
</sst>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\(0.00\)"/>
  </numFmts>
  <fonts count="16" x14ac:knownFonts="1">
    <font>
      <sz val="11"/>
      <color theme="1"/>
      <name val="等线"/>
      <family val="2"/>
      <scheme val="minor"/>
    </font>
    <font>
      <sz val="11"/>
      <color theme="1"/>
      <name val="Segoe UI"/>
      <family val="2"/>
    </font>
    <font>
      <sz val="9"/>
      <name val="等线"/>
      <family val="3"/>
      <charset val="134"/>
      <scheme val="minor"/>
    </font>
    <font>
      <sz val="11"/>
      <color theme="1"/>
      <name val="宋体"/>
      <family val="2"/>
      <charset val="134"/>
    </font>
    <font>
      <b/>
      <sz val="14"/>
      <color theme="1"/>
      <name val="Segoe UI"/>
      <family val="2"/>
    </font>
    <font>
      <b/>
      <sz val="14"/>
      <color theme="1"/>
      <name val="等线"/>
      <family val="3"/>
      <charset val="134"/>
      <scheme val="minor"/>
    </font>
    <font>
      <b/>
      <sz val="14"/>
      <color theme="1"/>
      <name val="等线"/>
      <family val="2"/>
      <scheme val="minor"/>
    </font>
    <font>
      <sz val="10"/>
      <color theme="1"/>
      <name val="Segoe UI"/>
      <family val="2"/>
    </font>
    <font>
      <sz val="10"/>
      <color theme="1"/>
      <name val="等线"/>
      <family val="2"/>
      <scheme val="minor"/>
    </font>
    <font>
      <sz val="10"/>
      <color theme="1"/>
      <name val="宋体"/>
      <family val="2"/>
      <charset val="134"/>
    </font>
    <font>
      <sz val="11"/>
      <name val="等线"/>
      <family val="3"/>
      <charset val="134"/>
      <scheme val="minor"/>
    </font>
    <font>
      <b/>
      <sz val="14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  <font>
      <b/>
      <sz val="28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176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3" borderId="0" xfId="0" applyFill="1"/>
    <xf numFmtId="176" fontId="0" fillId="2" borderId="2" xfId="0" applyNumberFormat="1" applyFill="1" applyBorder="1" applyAlignment="1">
      <alignment horizontal="center"/>
    </xf>
    <xf numFmtId="176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76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76" fontId="10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176" fontId="8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2" fillId="0" borderId="1" xfId="0" applyFont="1" applyBorder="1"/>
    <xf numFmtId="0" fontId="14" fillId="3" borderId="0" xfId="0" applyFont="1" applyFill="1" applyAlignment="1">
      <alignment horizontal="center"/>
    </xf>
    <xf numFmtId="176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0" borderId="1" xfId="0" applyBorder="1"/>
    <xf numFmtId="0" fontId="13" fillId="0" borderId="1" xfId="0" applyFont="1" applyBorder="1"/>
    <xf numFmtId="0" fontId="6" fillId="7" borderId="1" xfId="0" applyFont="1" applyFill="1" applyBorder="1" applyAlignment="1">
      <alignment horizontal="center"/>
    </xf>
    <xf numFmtId="176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15" fillId="0" borderId="0" xfId="0" applyFont="1"/>
    <xf numFmtId="0" fontId="12" fillId="5" borderId="1" xfId="0" applyFont="1" applyFill="1" applyBorder="1" applyAlignment="1">
      <alignment horizontal="center"/>
    </xf>
    <xf numFmtId="176" fontId="10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/>
    </xf>
    <xf numFmtId="176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E244-B6F7-4985-8C6A-540E0F0758CD}">
  <dimension ref="C1:I13"/>
  <sheetViews>
    <sheetView workbookViewId="0">
      <selection activeCell="K16" sqref="K16"/>
    </sheetView>
  </sheetViews>
  <sheetFormatPr defaultRowHeight="13.8" x14ac:dyDescent="0.25"/>
  <cols>
    <col min="3" max="3" width="25" customWidth="1"/>
    <col min="4" max="4" width="24.6640625" customWidth="1"/>
    <col min="8" max="8" width="16.5546875" customWidth="1"/>
    <col min="9" max="9" width="19.88671875" customWidth="1"/>
  </cols>
  <sheetData>
    <row r="1" spans="3:9" x14ac:dyDescent="0.25">
      <c r="C1" s="32" t="s">
        <v>151</v>
      </c>
      <c r="D1" s="32">
        <f>其他!C19</f>
        <v>12715.160000000002</v>
      </c>
      <c r="H1" s="9" t="s">
        <v>157</v>
      </c>
      <c r="I1" s="10">
        <v>94524</v>
      </c>
    </row>
    <row r="2" spans="3:9" x14ac:dyDescent="0.25">
      <c r="C2" s="32" t="s">
        <v>152</v>
      </c>
      <c r="D2" s="32">
        <f>餐费!C8</f>
        <v>2192</v>
      </c>
      <c r="H2" s="9" t="s">
        <v>158</v>
      </c>
      <c r="I2" s="10">
        <v>10000</v>
      </c>
    </row>
    <row r="3" spans="3:9" x14ac:dyDescent="0.25">
      <c r="C3" s="32" t="s">
        <v>53</v>
      </c>
      <c r="D3" s="32">
        <f>加油!C10</f>
        <v>1946.52</v>
      </c>
      <c r="H3" s="9" t="s">
        <v>159</v>
      </c>
      <c r="I3" s="10">
        <v>10000</v>
      </c>
    </row>
    <row r="4" spans="3:9" x14ac:dyDescent="0.25">
      <c r="C4" s="32" t="s">
        <v>153</v>
      </c>
      <c r="D4" s="32">
        <f>差旅!C47</f>
        <v>5902.7699999999995</v>
      </c>
      <c r="H4" s="9" t="s">
        <v>160</v>
      </c>
      <c r="I4" s="10">
        <v>20000</v>
      </c>
    </row>
    <row r="5" spans="3:9" x14ac:dyDescent="0.25">
      <c r="C5" s="32" t="s">
        <v>154</v>
      </c>
      <c r="D5" s="32">
        <f>酒店!C18</f>
        <v>3854</v>
      </c>
      <c r="H5" s="9" t="s">
        <v>161</v>
      </c>
      <c r="I5" s="10">
        <v>15000</v>
      </c>
    </row>
    <row r="6" spans="3:9" x14ac:dyDescent="0.25">
      <c r="C6" s="32" t="s">
        <v>156</v>
      </c>
      <c r="D6" s="32">
        <f>行政类!C5</f>
        <v>13039.26</v>
      </c>
      <c r="H6" s="9" t="s">
        <v>162</v>
      </c>
      <c r="I6" s="10">
        <v>15000</v>
      </c>
    </row>
    <row r="7" spans="3:9" x14ac:dyDescent="0.25">
      <c r="C7" s="32" t="s">
        <v>155</v>
      </c>
      <c r="D7" s="32">
        <f>民工工资!C24</f>
        <v>45280</v>
      </c>
      <c r="H7" s="9" t="s">
        <v>163</v>
      </c>
      <c r="I7" s="10">
        <v>20000</v>
      </c>
    </row>
    <row r="8" spans="3:9" x14ac:dyDescent="0.25">
      <c r="C8" s="32" t="s">
        <v>173</v>
      </c>
      <c r="D8" s="32">
        <f>'无发票（全部计入5月份工资）'!C23</f>
        <v>8809</v>
      </c>
      <c r="H8" s="9" t="s">
        <v>164</v>
      </c>
      <c r="I8" s="10">
        <v>2000</v>
      </c>
    </row>
    <row r="9" spans="3:9" x14ac:dyDescent="0.25">
      <c r="D9">
        <f>SUM(D1:D8)</f>
        <v>93738.709999999992</v>
      </c>
      <c r="H9" s="9" t="s">
        <v>165</v>
      </c>
      <c r="I9" s="10">
        <v>2524</v>
      </c>
    </row>
    <row r="11" spans="3:9" x14ac:dyDescent="0.25">
      <c r="D11" t="s">
        <v>174</v>
      </c>
      <c r="E11">
        <f>I1-D9</f>
        <v>785.29000000000815</v>
      </c>
    </row>
    <row r="13" spans="3:9" x14ac:dyDescent="0.25">
      <c r="H13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2D43A-61D6-4C62-A71C-2166E7803762}">
  <dimension ref="A1:H25"/>
  <sheetViews>
    <sheetView tabSelected="1" workbookViewId="0">
      <selection activeCell="G16" sqref="G16"/>
    </sheetView>
  </sheetViews>
  <sheetFormatPr defaultRowHeight="33" customHeight="1" x14ac:dyDescent="0.25"/>
  <cols>
    <col min="1" max="1" width="8.88671875" style="13"/>
    <col min="2" max="2" width="37.21875" style="13" customWidth="1"/>
    <col min="3" max="3" width="22.88671875" style="13" customWidth="1"/>
    <col min="4" max="4" width="35.44140625" style="13" customWidth="1"/>
    <col min="5" max="16384" width="8.88671875" style="13"/>
  </cols>
  <sheetData>
    <row r="1" spans="1:8" ht="33" customHeight="1" x14ac:dyDescent="0.3">
      <c r="A1" s="9">
        <v>3.22</v>
      </c>
      <c r="B1" s="10" t="s">
        <v>127</v>
      </c>
      <c r="C1" s="29">
        <v>720</v>
      </c>
      <c r="D1" s="12" t="s">
        <v>3</v>
      </c>
    </row>
    <row r="2" spans="1:8" ht="33" customHeight="1" x14ac:dyDescent="0.3">
      <c r="A2" s="9">
        <v>3.23</v>
      </c>
      <c r="B2" s="10" t="s">
        <v>128</v>
      </c>
      <c r="C2" s="29">
        <v>600</v>
      </c>
      <c r="D2" s="12" t="s">
        <v>3</v>
      </c>
    </row>
    <row r="3" spans="1:8" ht="33" customHeight="1" x14ac:dyDescent="0.3">
      <c r="A3" s="9">
        <v>3.24</v>
      </c>
      <c r="B3" s="10" t="s">
        <v>129</v>
      </c>
      <c r="C3" s="29">
        <v>7080</v>
      </c>
      <c r="D3" s="12" t="s">
        <v>3</v>
      </c>
    </row>
    <row r="4" spans="1:8" ht="33" customHeight="1" x14ac:dyDescent="0.3">
      <c r="A4" s="9">
        <v>3.25</v>
      </c>
      <c r="B4" s="10" t="s">
        <v>130</v>
      </c>
      <c r="C4" s="40">
        <v>600</v>
      </c>
      <c r="D4" s="12" t="s">
        <v>3</v>
      </c>
    </row>
    <row r="5" spans="1:8" ht="33" customHeight="1" x14ac:dyDescent="0.3">
      <c r="A5" s="9">
        <v>3.25</v>
      </c>
      <c r="B5" s="10" t="s">
        <v>131</v>
      </c>
      <c r="C5" s="40">
        <v>240</v>
      </c>
      <c r="D5" s="12" t="s">
        <v>3</v>
      </c>
      <c r="H5" s="13">
        <v>8400</v>
      </c>
    </row>
    <row r="6" spans="1:8" ht="33" customHeight="1" x14ac:dyDescent="0.3">
      <c r="A6" s="9">
        <v>3.25</v>
      </c>
      <c r="B6" s="10" t="s">
        <v>132</v>
      </c>
      <c r="C6" s="40">
        <v>6000</v>
      </c>
      <c r="D6" s="12">
        <v>71</v>
      </c>
      <c r="H6" s="13">
        <v>3460</v>
      </c>
    </row>
    <row r="7" spans="1:8" ht="33" customHeight="1" x14ac:dyDescent="0.3">
      <c r="A7" s="9">
        <v>3.24</v>
      </c>
      <c r="B7" s="10" t="s">
        <v>133</v>
      </c>
      <c r="C7" s="29">
        <v>320</v>
      </c>
      <c r="D7" s="12" t="s">
        <v>3</v>
      </c>
      <c r="H7" s="13">
        <f>SUM(H5:H6)</f>
        <v>11860</v>
      </c>
    </row>
    <row r="8" spans="1:8" ht="33" customHeight="1" x14ac:dyDescent="0.3">
      <c r="A8" s="9">
        <v>3.25</v>
      </c>
      <c r="B8" s="10" t="s">
        <v>134</v>
      </c>
      <c r="C8" s="29">
        <v>320</v>
      </c>
      <c r="D8" s="12" t="s">
        <v>3</v>
      </c>
    </row>
    <row r="9" spans="1:8" ht="33" customHeight="1" x14ac:dyDescent="0.3">
      <c r="A9" s="9">
        <v>3.25</v>
      </c>
      <c r="B9" s="10" t="s">
        <v>129</v>
      </c>
      <c r="C9" s="29">
        <v>2040</v>
      </c>
      <c r="D9" s="12" t="s">
        <v>3</v>
      </c>
    </row>
    <row r="10" spans="1:8" ht="33" customHeight="1" x14ac:dyDescent="0.3">
      <c r="A10" s="9">
        <v>3.26</v>
      </c>
      <c r="B10" s="10" t="s">
        <v>137</v>
      </c>
      <c r="C10" s="29">
        <v>780</v>
      </c>
      <c r="D10" s="12" t="s">
        <v>3</v>
      </c>
    </row>
    <row r="11" spans="1:8" ht="33" customHeight="1" x14ac:dyDescent="0.3">
      <c r="A11" s="9">
        <v>3.26</v>
      </c>
      <c r="B11" s="10" t="s">
        <v>138</v>
      </c>
      <c r="C11" s="40">
        <v>1140</v>
      </c>
      <c r="D11" s="12" t="s">
        <v>3</v>
      </c>
    </row>
    <row r="12" spans="1:8" ht="33" customHeight="1" x14ac:dyDescent="0.3">
      <c r="A12" s="9">
        <v>3.26</v>
      </c>
      <c r="B12" s="10" t="s">
        <v>139</v>
      </c>
      <c r="C12" s="40">
        <v>500</v>
      </c>
      <c r="D12" s="12" t="s">
        <v>3</v>
      </c>
    </row>
    <row r="13" spans="1:8" ht="33" customHeight="1" x14ac:dyDescent="0.3">
      <c r="A13" s="9">
        <v>3.26</v>
      </c>
      <c r="B13" s="10" t="s">
        <v>140</v>
      </c>
      <c r="C13" s="40">
        <v>480</v>
      </c>
      <c r="D13" s="12" t="s">
        <v>3</v>
      </c>
    </row>
    <row r="14" spans="1:8" ht="33" customHeight="1" x14ac:dyDescent="0.3">
      <c r="A14" s="9">
        <v>3.26</v>
      </c>
      <c r="B14" s="10" t="s">
        <v>141</v>
      </c>
      <c r="C14" s="40">
        <v>240</v>
      </c>
      <c r="D14" s="12" t="s">
        <v>3</v>
      </c>
    </row>
    <row r="15" spans="1:8" ht="33" customHeight="1" x14ac:dyDescent="0.3">
      <c r="A15" s="9">
        <v>3.27</v>
      </c>
      <c r="B15" s="10" t="s">
        <v>142</v>
      </c>
      <c r="C15" s="40">
        <v>4080</v>
      </c>
      <c r="D15" s="12" t="s">
        <v>143</v>
      </c>
    </row>
    <row r="16" spans="1:8" ht="33" customHeight="1" x14ac:dyDescent="0.3">
      <c r="A16" s="9">
        <v>3.28</v>
      </c>
      <c r="B16" s="10" t="s">
        <v>142</v>
      </c>
      <c r="C16" s="40">
        <v>4440</v>
      </c>
      <c r="D16" s="12" t="s">
        <v>143</v>
      </c>
    </row>
    <row r="17" spans="1:4" ht="33" customHeight="1" x14ac:dyDescent="0.3">
      <c r="A17" s="9">
        <v>3.31</v>
      </c>
      <c r="B17" s="10" t="s">
        <v>144</v>
      </c>
      <c r="C17" s="40">
        <v>150</v>
      </c>
      <c r="D17" s="12" t="s">
        <v>3</v>
      </c>
    </row>
    <row r="18" spans="1:4" ht="33" customHeight="1" x14ac:dyDescent="0.3">
      <c r="A18" s="9">
        <v>3.31</v>
      </c>
      <c r="B18" s="10" t="s">
        <v>145</v>
      </c>
      <c r="C18" s="40">
        <v>180</v>
      </c>
      <c r="D18" s="12" t="s">
        <v>3</v>
      </c>
    </row>
    <row r="19" spans="1:4" ht="38.4" customHeight="1" x14ac:dyDescent="0.3">
      <c r="A19" s="9">
        <v>3.31</v>
      </c>
      <c r="B19" s="10" t="s">
        <v>146</v>
      </c>
      <c r="C19" s="40">
        <v>820</v>
      </c>
      <c r="D19" s="12">
        <v>55</v>
      </c>
    </row>
    <row r="20" spans="1:4" ht="54" customHeight="1" x14ac:dyDescent="0.3">
      <c r="A20" s="9">
        <v>4.1399999999999997</v>
      </c>
      <c r="B20" s="10" t="s">
        <v>147</v>
      </c>
      <c r="C20" s="40">
        <v>2400</v>
      </c>
      <c r="D20" s="12" t="s">
        <v>3</v>
      </c>
    </row>
    <row r="21" spans="1:4" ht="33" customHeight="1" x14ac:dyDescent="0.3">
      <c r="A21" s="9">
        <v>4.3</v>
      </c>
      <c r="B21" s="10" t="s">
        <v>148</v>
      </c>
      <c r="C21" s="40">
        <v>540</v>
      </c>
      <c r="D21" s="12" t="s">
        <v>3</v>
      </c>
    </row>
    <row r="22" spans="1:4" ht="33" customHeight="1" x14ac:dyDescent="0.3">
      <c r="A22" s="9">
        <v>4.3</v>
      </c>
      <c r="B22" s="10" t="s">
        <v>149</v>
      </c>
      <c r="C22" s="40">
        <v>120</v>
      </c>
      <c r="D22" s="12" t="s">
        <v>3</v>
      </c>
    </row>
    <row r="23" spans="1:4" ht="33" customHeight="1" x14ac:dyDescent="0.3">
      <c r="A23" s="9">
        <v>5.01</v>
      </c>
      <c r="B23" s="10" t="s">
        <v>150</v>
      </c>
      <c r="C23" s="40">
        <v>11490</v>
      </c>
      <c r="D23" s="12" t="s">
        <v>113</v>
      </c>
    </row>
    <row r="24" spans="1:4" ht="33" customHeight="1" x14ac:dyDescent="0.5">
      <c r="A24" s="31"/>
      <c r="B24" s="31"/>
      <c r="C24" s="33">
        <f>SUM(C1:C23)</f>
        <v>45280</v>
      </c>
      <c r="D24" s="31"/>
    </row>
    <row r="25" spans="1:4" ht="33" customHeight="1" x14ac:dyDescent="0.5">
      <c r="B25" s="53" t="s">
        <v>175</v>
      </c>
      <c r="C25" s="53"/>
      <c r="D25" s="53"/>
    </row>
  </sheetData>
  <mergeCells count="1">
    <mergeCell ref="B25:D2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095A-2F5A-47A2-947F-B8514CE1B249}">
  <dimension ref="A1:J18"/>
  <sheetViews>
    <sheetView workbookViewId="0">
      <selection activeCell="E2" sqref="E2"/>
    </sheetView>
  </sheetViews>
  <sheetFormatPr defaultRowHeight="13.8" x14ac:dyDescent="0.25"/>
  <cols>
    <col min="2" max="2" width="18.44140625" customWidth="1"/>
    <col min="3" max="3" width="27.6640625" customWidth="1"/>
    <col min="4" max="4" width="56" customWidth="1"/>
    <col min="5" max="5" width="20.88671875" customWidth="1"/>
    <col min="10" max="10" width="35.5546875" customWidth="1"/>
  </cols>
  <sheetData>
    <row r="1" spans="1:10" ht="45" customHeight="1" x14ac:dyDescent="0.25">
      <c r="A1" s="44" t="s">
        <v>168</v>
      </c>
      <c r="B1" s="44" t="s">
        <v>154</v>
      </c>
      <c r="C1" s="44" t="s">
        <v>169</v>
      </c>
      <c r="D1" s="44" t="s">
        <v>170</v>
      </c>
    </row>
    <row r="2" spans="1:10" ht="87" customHeight="1" x14ac:dyDescent="0.3">
      <c r="A2" s="27" t="s">
        <v>114</v>
      </c>
      <c r="B2" s="28" t="s">
        <v>115</v>
      </c>
      <c r="C2" s="29">
        <v>168</v>
      </c>
      <c r="D2" s="30">
        <v>1</v>
      </c>
    </row>
    <row r="3" spans="1:10" ht="17.399999999999999" x14ac:dyDescent="0.3">
      <c r="A3" s="27" t="s">
        <v>33</v>
      </c>
      <c r="B3" s="28" t="s">
        <v>116</v>
      </c>
      <c r="C3" s="29">
        <v>271</v>
      </c>
      <c r="D3" s="30">
        <v>2</v>
      </c>
    </row>
    <row r="4" spans="1:10" ht="17.399999999999999" x14ac:dyDescent="0.3">
      <c r="A4" s="27" t="s">
        <v>117</v>
      </c>
      <c r="B4" s="28" t="s">
        <v>116</v>
      </c>
      <c r="C4" s="29">
        <v>244</v>
      </c>
      <c r="D4" s="30">
        <v>3</v>
      </c>
    </row>
    <row r="5" spans="1:10" ht="17.399999999999999" x14ac:dyDescent="0.3">
      <c r="A5" s="27" t="s">
        <v>118</v>
      </c>
      <c r="B5" s="28" t="s">
        <v>119</v>
      </c>
      <c r="C5" s="29">
        <v>264</v>
      </c>
      <c r="D5" s="54">
        <v>7</v>
      </c>
    </row>
    <row r="6" spans="1:10" ht="17.399999999999999" x14ac:dyDescent="0.3">
      <c r="A6" s="27" t="s">
        <v>120</v>
      </c>
      <c r="B6" s="28" t="s">
        <v>119</v>
      </c>
      <c r="C6" s="29">
        <v>256</v>
      </c>
      <c r="D6" s="54"/>
    </row>
    <row r="7" spans="1:10" ht="17.399999999999999" x14ac:dyDescent="0.3">
      <c r="A7" s="27" t="s">
        <v>61</v>
      </c>
      <c r="B7" s="28" t="s">
        <v>116</v>
      </c>
      <c r="C7" s="29">
        <v>225</v>
      </c>
      <c r="D7" s="30">
        <v>6</v>
      </c>
    </row>
    <row r="8" spans="1:10" ht="17.399999999999999" x14ac:dyDescent="0.3">
      <c r="A8" s="27" t="s">
        <v>121</v>
      </c>
      <c r="B8" s="28" t="s">
        <v>116</v>
      </c>
      <c r="C8" s="29">
        <v>228</v>
      </c>
      <c r="D8" s="30">
        <v>5</v>
      </c>
    </row>
    <row r="9" spans="1:10" ht="17.399999999999999" x14ac:dyDescent="0.3">
      <c r="A9" s="27" t="s">
        <v>55</v>
      </c>
      <c r="B9" s="28" t="s">
        <v>116</v>
      </c>
      <c r="C9" s="29">
        <v>230</v>
      </c>
      <c r="D9" s="30">
        <v>4</v>
      </c>
    </row>
    <row r="10" spans="1:10" ht="17.399999999999999" x14ac:dyDescent="0.3">
      <c r="A10" s="41">
        <v>3.18</v>
      </c>
      <c r="B10" s="42" t="s">
        <v>119</v>
      </c>
      <c r="C10" s="55">
        <v>604</v>
      </c>
      <c r="D10" s="54">
        <v>38</v>
      </c>
      <c r="G10" s="34">
        <v>5.0999999999999996</v>
      </c>
      <c r="H10" s="35" t="s">
        <v>123</v>
      </c>
      <c r="I10" s="36">
        <v>228</v>
      </c>
      <c r="J10" s="37" t="s">
        <v>124</v>
      </c>
    </row>
    <row r="11" spans="1:10" ht="17.399999999999999" x14ac:dyDescent="0.3">
      <c r="A11" s="41">
        <v>3.19</v>
      </c>
      <c r="B11" s="42" t="s">
        <v>119</v>
      </c>
      <c r="C11" s="55"/>
      <c r="D11" s="54"/>
      <c r="G11" s="34">
        <v>5.21</v>
      </c>
      <c r="H11" s="35" t="s">
        <v>123</v>
      </c>
      <c r="I11" s="36">
        <v>250</v>
      </c>
      <c r="J11" s="37" t="s">
        <v>125</v>
      </c>
    </row>
    <row r="12" spans="1:10" x14ac:dyDescent="0.25">
      <c r="A12" s="41">
        <v>3.2</v>
      </c>
      <c r="B12" s="42" t="s">
        <v>116</v>
      </c>
      <c r="C12" s="55">
        <v>514</v>
      </c>
      <c r="D12" s="54">
        <v>39</v>
      </c>
    </row>
    <row r="13" spans="1:10" x14ac:dyDescent="0.25">
      <c r="A13" s="41">
        <v>3.21</v>
      </c>
      <c r="B13" s="42" t="s">
        <v>116</v>
      </c>
      <c r="C13" s="55"/>
      <c r="D13" s="54"/>
    </row>
    <row r="14" spans="1:10" ht="27.6" x14ac:dyDescent="0.3">
      <c r="A14" s="41">
        <v>4.3</v>
      </c>
      <c r="B14" s="42" t="s">
        <v>122</v>
      </c>
      <c r="C14" s="29">
        <v>264</v>
      </c>
      <c r="D14" s="30">
        <v>72</v>
      </c>
    </row>
    <row r="15" spans="1:10" ht="17.399999999999999" x14ac:dyDescent="0.3">
      <c r="A15" s="41">
        <v>5.17</v>
      </c>
      <c r="B15" s="42" t="s">
        <v>123</v>
      </c>
      <c r="C15" s="29">
        <v>194</v>
      </c>
      <c r="D15" s="30">
        <v>85</v>
      </c>
    </row>
    <row r="16" spans="1:10" ht="27.6" x14ac:dyDescent="0.3">
      <c r="A16" s="41">
        <v>3.26</v>
      </c>
      <c r="B16" s="42" t="s">
        <v>122</v>
      </c>
      <c r="C16" s="29">
        <v>264</v>
      </c>
      <c r="D16" s="30">
        <v>49</v>
      </c>
    </row>
    <row r="17" spans="1:4" ht="27.6" x14ac:dyDescent="0.3">
      <c r="A17" s="41">
        <v>5.03</v>
      </c>
      <c r="B17" s="42" t="s">
        <v>126</v>
      </c>
      <c r="C17" s="29">
        <v>128</v>
      </c>
      <c r="D17" s="30">
        <v>74</v>
      </c>
    </row>
    <row r="18" spans="1:4" ht="35.4" x14ac:dyDescent="0.6">
      <c r="C18" s="43">
        <f>SUM(C2:C17)</f>
        <v>3854</v>
      </c>
    </row>
  </sheetData>
  <mergeCells count="5">
    <mergeCell ref="D5:D6"/>
    <mergeCell ref="C10:C11"/>
    <mergeCell ref="D10:D11"/>
    <mergeCell ref="C12:C13"/>
    <mergeCell ref="D12:D1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EE16-01B4-43F1-9DAD-D6D5E5526CDE}">
  <dimension ref="A1:D47"/>
  <sheetViews>
    <sheetView topLeftCell="A22" workbookViewId="0">
      <selection activeCell="C44" sqref="C1:C44"/>
    </sheetView>
  </sheetViews>
  <sheetFormatPr defaultRowHeight="13.8" x14ac:dyDescent="0.25"/>
  <cols>
    <col min="2" max="2" width="26.88671875" customWidth="1"/>
    <col min="4" max="4" width="28.6640625" customWidth="1"/>
  </cols>
  <sheetData>
    <row r="1" spans="1:4" ht="30" x14ac:dyDescent="0.3">
      <c r="A1" s="15" t="s">
        <v>55</v>
      </c>
      <c r="B1" s="16" t="s">
        <v>56</v>
      </c>
      <c r="C1" s="3">
        <v>12</v>
      </c>
      <c r="D1" s="4">
        <v>16</v>
      </c>
    </row>
    <row r="2" spans="1:4" ht="30" x14ac:dyDescent="0.3">
      <c r="A2" s="15" t="s">
        <v>55</v>
      </c>
      <c r="B2" s="16" t="s">
        <v>57</v>
      </c>
      <c r="C2" s="3">
        <v>92.5</v>
      </c>
      <c r="D2" s="4">
        <v>15</v>
      </c>
    </row>
    <row r="3" spans="1:4" ht="30" x14ac:dyDescent="0.3">
      <c r="A3" s="15" t="s">
        <v>58</v>
      </c>
      <c r="B3" s="16" t="s">
        <v>59</v>
      </c>
      <c r="C3" s="3">
        <v>99</v>
      </c>
      <c r="D3" s="4">
        <v>18</v>
      </c>
    </row>
    <row r="4" spans="1:4" ht="30" x14ac:dyDescent="0.3">
      <c r="A4" s="15" t="s">
        <v>58</v>
      </c>
      <c r="B4" s="16" t="s">
        <v>60</v>
      </c>
      <c r="C4" s="3">
        <v>14</v>
      </c>
      <c r="D4" s="4">
        <v>17</v>
      </c>
    </row>
    <row r="5" spans="1:4" ht="20.399999999999999" x14ac:dyDescent="0.3">
      <c r="A5" s="15" t="s">
        <v>61</v>
      </c>
      <c r="B5" s="16" t="s">
        <v>62</v>
      </c>
      <c r="C5" s="3">
        <v>563</v>
      </c>
      <c r="D5" s="4">
        <v>12</v>
      </c>
    </row>
    <row r="6" spans="1:4" ht="20.399999999999999" x14ac:dyDescent="0.3">
      <c r="A6" s="15" t="s">
        <v>61</v>
      </c>
      <c r="B6" s="16" t="s">
        <v>63</v>
      </c>
      <c r="C6" s="3">
        <v>48</v>
      </c>
      <c r="D6" s="4">
        <v>13</v>
      </c>
    </row>
    <row r="7" spans="1:4" ht="20.399999999999999" x14ac:dyDescent="0.3">
      <c r="A7" s="15" t="s">
        <v>61</v>
      </c>
      <c r="B7" s="16" t="s">
        <v>63</v>
      </c>
      <c r="C7" s="3">
        <v>40</v>
      </c>
      <c r="D7" s="4">
        <v>14</v>
      </c>
    </row>
    <row r="8" spans="1:4" ht="20.399999999999999" x14ac:dyDescent="0.3">
      <c r="A8" s="15" t="s">
        <v>61</v>
      </c>
      <c r="B8" s="16" t="s">
        <v>64</v>
      </c>
      <c r="C8" s="3">
        <v>51</v>
      </c>
      <c r="D8" s="4">
        <v>9</v>
      </c>
    </row>
    <row r="9" spans="1:4" ht="20.399999999999999" x14ac:dyDescent="0.3">
      <c r="A9" s="15" t="s">
        <v>65</v>
      </c>
      <c r="B9" s="16" t="s">
        <v>66</v>
      </c>
      <c r="C9" s="3">
        <v>25</v>
      </c>
      <c r="D9" s="4">
        <v>11</v>
      </c>
    </row>
    <row r="10" spans="1:4" ht="20.399999999999999" x14ac:dyDescent="0.3">
      <c r="A10" s="15" t="s">
        <v>65</v>
      </c>
      <c r="B10" s="16" t="s">
        <v>67</v>
      </c>
      <c r="C10" s="3">
        <v>74</v>
      </c>
      <c r="D10" s="4">
        <v>10</v>
      </c>
    </row>
    <row r="11" spans="1:4" ht="20.399999999999999" x14ac:dyDescent="0.3">
      <c r="A11" s="15" t="s">
        <v>33</v>
      </c>
      <c r="B11" s="16" t="s">
        <v>68</v>
      </c>
      <c r="C11" s="3">
        <v>51</v>
      </c>
      <c r="D11" s="4">
        <v>21</v>
      </c>
    </row>
    <row r="12" spans="1:4" ht="20.399999999999999" x14ac:dyDescent="0.3">
      <c r="A12" s="15" t="s">
        <v>69</v>
      </c>
      <c r="B12" s="19" t="s">
        <v>70</v>
      </c>
      <c r="C12" s="3">
        <v>623</v>
      </c>
      <c r="D12" s="4">
        <v>23</v>
      </c>
    </row>
    <row r="13" spans="1:4" ht="20.399999999999999" x14ac:dyDescent="0.3">
      <c r="A13" s="15" t="s">
        <v>71</v>
      </c>
      <c r="B13" s="16" t="s">
        <v>72</v>
      </c>
      <c r="C13" s="3">
        <v>99</v>
      </c>
      <c r="D13" s="4">
        <v>20</v>
      </c>
    </row>
    <row r="14" spans="1:4" ht="20.399999999999999" x14ac:dyDescent="0.3">
      <c r="A14" s="15" t="s">
        <v>71</v>
      </c>
      <c r="B14" s="16" t="s">
        <v>73</v>
      </c>
      <c r="C14" s="3">
        <v>14</v>
      </c>
      <c r="D14" s="4">
        <v>19</v>
      </c>
    </row>
    <row r="15" spans="1:4" ht="17.399999999999999" x14ac:dyDescent="0.3">
      <c r="A15" s="17">
        <v>3.15</v>
      </c>
      <c r="B15" s="18" t="s">
        <v>74</v>
      </c>
      <c r="C15" s="7">
        <v>28.3</v>
      </c>
      <c r="D15" s="4">
        <v>25</v>
      </c>
    </row>
    <row r="16" spans="1:4" ht="17.399999999999999" x14ac:dyDescent="0.3">
      <c r="A16" s="5">
        <v>3.18</v>
      </c>
      <c r="B16" s="6" t="s">
        <v>75</v>
      </c>
      <c r="C16" s="7">
        <v>7</v>
      </c>
      <c r="D16" s="4">
        <v>29</v>
      </c>
    </row>
    <row r="17" spans="1:4" ht="17.399999999999999" x14ac:dyDescent="0.3">
      <c r="A17" s="5">
        <v>3.18</v>
      </c>
      <c r="B17" s="6" t="s">
        <v>76</v>
      </c>
      <c r="C17" s="7">
        <v>169</v>
      </c>
      <c r="D17" s="4" t="s">
        <v>77</v>
      </c>
    </row>
    <row r="18" spans="1:4" ht="17.399999999999999" x14ac:dyDescent="0.3">
      <c r="A18" s="5">
        <v>3.18</v>
      </c>
      <c r="B18" s="6" t="s">
        <v>78</v>
      </c>
      <c r="C18" s="7">
        <v>36</v>
      </c>
      <c r="D18" s="4">
        <v>30</v>
      </c>
    </row>
    <row r="19" spans="1:4" ht="17.399999999999999" x14ac:dyDescent="0.3">
      <c r="A19" s="5">
        <v>3.19</v>
      </c>
      <c r="B19" s="6" t="s">
        <v>79</v>
      </c>
      <c r="C19" s="7">
        <v>9.42</v>
      </c>
      <c r="D19" s="4">
        <v>28</v>
      </c>
    </row>
    <row r="20" spans="1:4" ht="17.399999999999999" x14ac:dyDescent="0.3">
      <c r="A20" s="5">
        <v>3.19</v>
      </c>
      <c r="B20" s="6" t="s">
        <v>80</v>
      </c>
      <c r="C20" s="7">
        <v>47</v>
      </c>
      <c r="D20" s="4">
        <v>27</v>
      </c>
    </row>
    <row r="21" spans="1:4" ht="17.399999999999999" x14ac:dyDescent="0.3">
      <c r="A21" s="5">
        <v>3.19</v>
      </c>
      <c r="B21" s="6" t="s">
        <v>81</v>
      </c>
      <c r="C21" s="7">
        <v>24.25</v>
      </c>
      <c r="D21" s="4">
        <v>26</v>
      </c>
    </row>
    <row r="22" spans="1:4" ht="17.399999999999999" x14ac:dyDescent="0.3">
      <c r="A22" s="5">
        <v>3.17</v>
      </c>
      <c r="B22" s="18" t="s">
        <v>74</v>
      </c>
      <c r="C22" s="7">
        <v>76.900000000000006</v>
      </c>
      <c r="D22" s="4">
        <v>24</v>
      </c>
    </row>
    <row r="23" spans="1:4" ht="17.399999999999999" x14ac:dyDescent="0.3">
      <c r="A23" s="20">
        <v>3.2</v>
      </c>
      <c r="B23" s="21" t="s">
        <v>82</v>
      </c>
      <c r="C23" s="22">
        <v>18.440000000000001</v>
      </c>
      <c r="D23" s="23">
        <v>35</v>
      </c>
    </row>
    <row r="24" spans="1:4" ht="17.399999999999999" x14ac:dyDescent="0.3">
      <c r="A24" s="20">
        <v>3.2</v>
      </c>
      <c r="B24" s="21" t="s">
        <v>83</v>
      </c>
      <c r="C24" s="22">
        <v>9.59</v>
      </c>
      <c r="D24" s="23">
        <v>36</v>
      </c>
    </row>
    <row r="25" spans="1:4" ht="17.399999999999999" x14ac:dyDescent="0.3">
      <c r="A25" s="5">
        <v>3.27</v>
      </c>
      <c r="B25" s="6" t="s">
        <v>84</v>
      </c>
      <c r="C25" s="7">
        <v>126</v>
      </c>
      <c r="D25" s="4" t="s">
        <v>85</v>
      </c>
    </row>
    <row r="26" spans="1:4" ht="17.399999999999999" x14ac:dyDescent="0.3">
      <c r="A26" s="5">
        <v>3.29</v>
      </c>
      <c r="B26" s="6" t="s">
        <v>76</v>
      </c>
      <c r="C26" s="7">
        <v>169</v>
      </c>
      <c r="D26" s="4" t="s">
        <v>86</v>
      </c>
    </row>
    <row r="27" spans="1:4" ht="17.399999999999999" x14ac:dyDescent="0.3">
      <c r="A27" s="5">
        <v>3.29</v>
      </c>
      <c r="B27" s="6" t="s">
        <v>87</v>
      </c>
      <c r="C27" s="7">
        <v>42</v>
      </c>
      <c r="D27" s="4">
        <v>45</v>
      </c>
    </row>
    <row r="28" spans="1:4" ht="17.399999999999999" x14ac:dyDescent="0.3">
      <c r="A28" s="5">
        <v>3.29</v>
      </c>
      <c r="B28" s="6" t="s">
        <v>88</v>
      </c>
      <c r="C28" s="7">
        <v>16.59</v>
      </c>
      <c r="D28" s="4">
        <v>46</v>
      </c>
    </row>
    <row r="29" spans="1:4" ht="17.399999999999999" x14ac:dyDescent="0.3">
      <c r="A29" s="5">
        <v>3.29</v>
      </c>
      <c r="B29" s="6" t="s">
        <v>89</v>
      </c>
      <c r="C29" s="7">
        <v>22</v>
      </c>
      <c r="D29" s="4">
        <v>44</v>
      </c>
    </row>
    <row r="30" spans="1:4" ht="17.399999999999999" x14ac:dyDescent="0.3">
      <c r="A30" s="5">
        <v>3.3</v>
      </c>
      <c r="B30" s="6" t="s">
        <v>88</v>
      </c>
      <c r="C30" s="7">
        <v>15.99</v>
      </c>
      <c r="D30" s="4">
        <v>46</v>
      </c>
    </row>
    <row r="31" spans="1:4" ht="17.399999999999999" x14ac:dyDescent="0.3">
      <c r="A31" s="5">
        <v>4.01</v>
      </c>
      <c r="B31" s="6" t="s">
        <v>90</v>
      </c>
      <c r="C31" s="7">
        <v>113</v>
      </c>
      <c r="D31" s="4" t="s">
        <v>91</v>
      </c>
    </row>
    <row r="32" spans="1:4" ht="17.399999999999999" x14ac:dyDescent="0.3">
      <c r="A32" s="5">
        <v>4.04</v>
      </c>
      <c r="B32" s="6" t="s">
        <v>92</v>
      </c>
      <c r="C32" s="7">
        <v>670</v>
      </c>
      <c r="D32" s="4">
        <v>59</v>
      </c>
    </row>
    <row r="33" spans="1:4" ht="17.399999999999999" x14ac:dyDescent="0.3">
      <c r="A33" s="5">
        <v>4.2699999999999996</v>
      </c>
      <c r="B33" s="6" t="s">
        <v>70</v>
      </c>
      <c r="C33" s="7">
        <v>842</v>
      </c>
      <c r="D33" s="4" t="s">
        <v>94</v>
      </c>
    </row>
    <row r="34" spans="1:4" ht="17.399999999999999" x14ac:dyDescent="0.3">
      <c r="A34" s="5">
        <v>5.0199999999999996</v>
      </c>
      <c r="B34" s="6" t="s">
        <v>90</v>
      </c>
      <c r="C34" s="7">
        <v>113</v>
      </c>
      <c r="D34" s="4">
        <v>76</v>
      </c>
    </row>
    <row r="35" spans="1:4" ht="17.399999999999999" x14ac:dyDescent="0.3">
      <c r="A35" s="5">
        <v>5.09</v>
      </c>
      <c r="B35" s="6" t="s">
        <v>95</v>
      </c>
      <c r="C35" s="7">
        <v>113</v>
      </c>
      <c r="D35" s="4" t="s">
        <v>96</v>
      </c>
    </row>
    <row r="36" spans="1:4" ht="17.399999999999999" x14ac:dyDescent="0.3">
      <c r="A36" s="5">
        <v>5.1100000000000003</v>
      </c>
      <c r="B36" s="6" t="s">
        <v>84</v>
      </c>
      <c r="C36" s="7">
        <v>129</v>
      </c>
      <c r="D36" s="4" t="s">
        <v>97</v>
      </c>
    </row>
    <row r="37" spans="1:4" ht="17.399999999999999" x14ac:dyDescent="0.3">
      <c r="A37" s="5">
        <v>5.17</v>
      </c>
      <c r="B37" s="6" t="s">
        <v>98</v>
      </c>
      <c r="C37" s="7">
        <v>99</v>
      </c>
      <c r="D37" s="4" t="s">
        <v>99</v>
      </c>
    </row>
    <row r="38" spans="1:4" ht="17.399999999999999" x14ac:dyDescent="0.3">
      <c r="A38" s="5">
        <v>5.21</v>
      </c>
      <c r="B38" s="6" t="s">
        <v>102</v>
      </c>
      <c r="C38" s="7">
        <v>51</v>
      </c>
      <c r="D38" s="4">
        <v>87</v>
      </c>
    </row>
    <row r="39" spans="1:4" ht="17.399999999999999" x14ac:dyDescent="0.3">
      <c r="A39" s="5">
        <v>5.21</v>
      </c>
      <c r="B39" s="6" t="s">
        <v>103</v>
      </c>
      <c r="C39" s="7">
        <v>51</v>
      </c>
      <c r="D39" s="4">
        <v>90</v>
      </c>
    </row>
    <row r="40" spans="1:4" ht="17.399999999999999" x14ac:dyDescent="0.3">
      <c r="A40" s="24">
        <v>5.22</v>
      </c>
      <c r="B40" s="25" t="s">
        <v>104</v>
      </c>
      <c r="C40" s="26">
        <v>28.79</v>
      </c>
      <c r="D40" s="26">
        <v>91</v>
      </c>
    </row>
    <row r="41" spans="1:4" ht="17.399999999999999" x14ac:dyDescent="0.3">
      <c r="A41" s="24">
        <v>5.22</v>
      </c>
      <c r="B41" s="25" t="s">
        <v>105</v>
      </c>
      <c r="C41" s="26">
        <v>152</v>
      </c>
      <c r="D41" s="26" t="s">
        <v>106</v>
      </c>
    </row>
    <row r="42" spans="1:4" ht="17.399999999999999" x14ac:dyDescent="0.3">
      <c r="A42" s="24">
        <v>5.22</v>
      </c>
      <c r="B42" s="25" t="s">
        <v>107</v>
      </c>
      <c r="C42" s="26">
        <v>41</v>
      </c>
      <c r="D42" s="26">
        <v>92</v>
      </c>
    </row>
    <row r="43" spans="1:4" ht="17.399999999999999" x14ac:dyDescent="0.3">
      <c r="A43" s="24">
        <v>5.27</v>
      </c>
      <c r="B43" s="25" t="s">
        <v>108</v>
      </c>
      <c r="C43" s="26">
        <v>34</v>
      </c>
      <c r="D43" s="26">
        <v>96</v>
      </c>
    </row>
    <row r="44" spans="1:4" ht="17.399999999999999" x14ac:dyDescent="0.3">
      <c r="A44" s="24">
        <v>5.27</v>
      </c>
      <c r="B44" s="25" t="s">
        <v>109</v>
      </c>
      <c r="C44" s="26">
        <v>843</v>
      </c>
      <c r="D44" s="26" t="s">
        <v>110</v>
      </c>
    </row>
    <row r="47" spans="1:4" x14ac:dyDescent="0.25">
      <c r="C47">
        <f>SUM(C1:C44)</f>
        <v>5902.7699999999995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915E-1059-4156-B33F-4F20A8D7C7AF}">
  <dimension ref="A2:D10"/>
  <sheetViews>
    <sheetView workbookViewId="0">
      <selection activeCell="C2" sqref="C2:C9"/>
    </sheetView>
  </sheetViews>
  <sheetFormatPr defaultRowHeight="13.8" x14ac:dyDescent="0.25"/>
  <cols>
    <col min="2" max="2" width="20.77734375" customWidth="1"/>
    <col min="3" max="3" width="13.88671875" customWidth="1"/>
    <col min="4" max="4" width="16.88671875" customWidth="1"/>
  </cols>
  <sheetData>
    <row r="2" spans="1:4" ht="17.399999999999999" x14ac:dyDescent="0.3">
      <c r="A2" s="17">
        <v>3.16</v>
      </c>
      <c r="B2" s="18" t="s">
        <v>49</v>
      </c>
      <c r="C2" s="7">
        <v>200</v>
      </c>
      <c r="D2" s="4">
        <v>8</v>
      </c>
    </row>
    <row r="3" spans="1:4" ht="17.399999999999999" x14ac:dyDescent="0.3">
      <c r="A3" s="5">
        <v>3.2</v>
      </c>
      <c r="B3" s="6" t="s">
        <v>50</v>
      </c>
      <c r="C3" s="7">
        <v>300</v>
      </c>
      <c r="D3" s="4">
        <v>37</v>
      </c>
    </row>
    <row r="4" spans="1:4" ht="17.399999999999999" x14ac:dyDescent="0.3">
      <c r="A4" s="5">
        <v>3.23</v>
      </c>
      <c r="B4" s="6" t="s">
        <v>51</v>
      </c>
      <c r="C4" s="7">
        <v>200</v>
      </c>
      <c r="D4" s="4">
        <v>41</v>
      </c>
    </row>
    <row r="5" spans="1:4" ht="17.399999999999999" x14ac:dyDescent="0.3">
      <c r="A5" s="5">
        <v>3.3</v>
      </c>
      <c r="B5" s="6" t="s">
        <v>52</v>
      </c>
      <c r="C5" s="7">
        <v>396.69</v>
      </c>
      <c r="D5" s="4">
        <v>48</v>
      </c>
    </row>
    <row r="6" spans="1:4" ht="17.399999999999999" x14ac:dyDescent="0.3">
      <c r="A6" s="5">
        <v>4.28</v>
      </c>
      <c r="B6" s="6" t="s">
        <v>53</v>
      </c>
      <c r="C6" s="7">
        <v>230</v>
      </c>
      <c r="D6" s="4">
        <v>67</v>
      </c>
    </row>
    <row r="7" spans="1:4" ht="17.399999999999999" x14ac:dyDescent="0.3">
      <c r="A7" s="5">
        <v>5.0199999999999996</v>
      </c>
      <c r="B7" s="6" t="s">
        <v>53</v>
      </c>
      <c r="C7" s="7">
        <v>249.83</v>
      </c>
      <c r="D7" s="4">
        <v>75</v>
      </c>
    </row>
    <row r="8" spans="1:4" ht="17.399999999999999" x14ac:dyDescent="0.3">
      <c r="A8" s="5">
        <v>5.0999999999999996</v>
      </c>
      <c r="B8" s="6" t="s">
        <v>53</v>
      </c>
      <c r="C8" s="7">
        <v>200</v>
      </c>
      <c r="D8" s="4">
        <v>79</v>
      </c>
    </row>
    <row r="9" spans="1:4" ht="17.399999999999999" x14ac:dyDescent="0.3">
      <c r="A9" s="9">
        <v>5.18</v>
      </c>
      <c r="B9" s="10" t="s">
        <v>54</v>
      </c>
      <c r="C9" s="11">
        <v>170</v>
      </c>
      <c r="D9" s="12">
        <v>83</v>
      </c>
    </row>
    <row r="10" spans="1:4" ht="70.2" customHeight="1" x14ac:dyDescent="0.45">
      <c r="A10" s="38"/>
      <c r="B10" s="38"/>
      <c r="C10" s="39">
        <f>SUM(C2:C9)</f>
        <v>1946.52</v>
      </c>
      <c r="D10" s="38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35E8-7BB7-4413-AE1E-E915DD5E1E45}">
  <dimension ref="A1:D8"/>
  <sheetViews>
    <sheetView workbookViewId="0">
      <selection activeCell="C1" sqref="C1:C6"/>
    </sheetView>
  </sheetViews>
  <sheetFormatPr defaultRowHeight="13.8" x14ac:dyDescent="0.25"/>
  <cols>
    <col min="1" max="1" width="16.77734375" customWidth="1"/>
    <col min="2" max="2" width="29.88671875" customWidth="1"/>
    <col min="3" max="3" width="18" customWidth="1"/>
    <col min="4" max="4" width="49.77734375" customWidth="1"/>
  </cols>
  <sheetData>
    <row r="1" spans="1:4" ht="17.399999999999999" x14ac:dyDescent="0.3">
      <c r="A1" s="5">
        <v>3.2</v>
      </c>
      <c r="B1" s="6" t="s">
        <v>34</v>
      </c>
      <c r="C1" s="7">
        <v>320</v>
      </c>
      <c r="D1" s="4">
        <v>34</v>
      </c>
    </row>
    <row r="2" spans="1:4" ht="17.399999999999999" x14ac:dyDescent="0.3">
      <c r="A2" s="5">
        <v>3.3</v>
      </c>
      <c r="B2" s="6" t="s">
        <v>38</v>
      </c>
      <c r="C2" s="7">
        <v>330</v>
      </c>
      <c r="D2" s="4">
        <v>56</v>
      </c>
    </row>
    <row r="3" spans="1:4" ht="17.399999999999999" x14ac:dyDescent="0.3">
      <c r="A3" s="14">
        <v>4.28</v>
      </c>
      <c r="B3" s="6" t="s">
        <v>39</v>
      </c>
      <c r="C3" s="7">
        <v>219</v>
      </c>
      <c r="D3" s="8">
        <v>64</v>
      </c>
    </row>
    <row r="4" spans="1:4" ht="17.399999999999999" x14ac:dyDescent="0.3">
      <c r="A4" s="14" t="s">
        <v>40</v>
      </c>
      <c r="B4" s="6" t="s">
        <v>41</v>
      </c>
      <c r="C4" s="7">
        <v>547</v>
      </c>
      <c r="D4" s="8">
        <v>78</v>
      </c>
    </row>
    <row r="5" spans="1:4" ht="17.399999999999999" x14ac:dyDescent="0.3">
      <c r="A5" s="5">
        <v>5.18</v>
      </c>
      <c r="B5" s="6" t="s">
        <v>44</v>
      </c>
      <c r="C5" s="7">
        <v>98</v>
      </c>
      <c r="D5" s="4" t="s">
        <v>45</v>
      </c>
    </row>
    <row r="6" spans="1:4" ht="17.399999999999999" x14ac:dyDescent="0.3">
      <c r="A6" s="5">
        <v>5.2</v>
      </c>
      <c r="B6" s="6" t="s">
        <v>46</v>
      </c>
      <c r="C6" s="7">
        <v>678</v>
      </c>
      <c r="D6" s="4">
        <v>89</v>
      </c>
    </row>
    <row r="8" spans="1:4" x14ac:dyDescent="0.25">
      <c r="C8">
        <f>SUM(C1:C6)</f>
        <v>2192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CE4F-A285-45FF-B824-E205F1D49FFB}">
  <dimension ref="A1:F19"/>
  <sheetViews>
    <sheetView workbookViewId="0">
      <selection activeCell="D21" sqref="D21"/>
    </sheetView>
  </sheetViews>
  <sheetFormatPr defaultRowHeight="13.8" x14ac:dyDescent="0.25"/>
  <cols>
    <col min="1" max="1" width="8.88671875" style="13"/>
    <col min="2" max="2" width="26.88671875" style="13" customWidth="1"/>
    <col min="3" max="3" width="18" style="13" customWidth="1"/>
    <col min="4" max="4" width="61.77734375" style="13" customWidth="1"/>
    <col min="5" max="16384" width="8.88671875" style="13"/>
  </cols>
  <sheetData>
    <row r="1" spans="1:6" ht="17.399999999999999" x14ac:dyDescent="0.3">
      <c r="A1" s="9">
        <v>3.2</v>
      </c>
      <c r="B1" s="10" t="s">
        <v>11</v>
      </c>
      <c r="C1" s="11">
        <v>2142.9</v>
      </c>
      <c r="D1" s="12">
        <v>33</v>
      </c>
    </row>
    <row r="2" spans="1:6" ht="17.399999999999999" x14ac:dyDescent="0.3">
      <c r="A2" s="9">
        <v>3.21</v>
      </c>
      <c r="B2" s="10" t="s">
        <v>11</v>
      </c>
      <c r="C2" s="11">
        <v>1111.3</v>
      </c>
      <c r="D2" s="56">
        <v>40</v>
      </c>
    </row>
    <row r="3" spans="1:6" ht="17.399999999999999" x14ac:dyDescent="0.3">
      <c r="A3" s="9">
        <v>3.21</v>
      </c>
      <c r="B3" s="10" t="s">
        <v>11</v>
      </c>
      <c r="C3" s="11">
        <v>470.34</v>
      </c>
      <c r="D3" s="57"/>
    </row>
    <row r="4" spans="1:6" ht="17.399999999999999" x14ac:dyDescent="0.3">
      <c r="A4" s="9">
        <v>3.21</v>
      </c>
      <c r="B4" s="10" t="s">
        <v>12</v>
      </c>
      <c r="C4" s="11">
        <v>630</v>
      </c>
      <c r="D4" s="12">
        <v>32</v>
      </c>
    </row>
    <row r="5" spans="1:6" ht="17.399999999999999" x14ac:dyDescent="0.3">
      <c r="A5" s="9">
        <v>3.23</v>
      </c>
      <c r="B5" s="10" t="s">
        <v>13</v>
      </c>
      <c r="C5" s="11">
        <v>367.31</v>
      </c>
      <c r="D5" s="12">
        <v>42</v>
      </c>
    </row>
    <row r="6" spans="1:6" ht="17.399999999999999" x14ac:dyDescent="0.3">
      <c r="A6" s="9">
        <v>3.24</v>
      </c>
      <c r="B6" s="10" t="s">
        <v>14</v>
      </c>
      <c r="C6" s="11">
        <v>121.05</v>
      </c>
      <c r="D6" s="12">
        <v>43</v>
      </c>
    </row>
    <row r="7" spans="1:6" ht="17.399999999999999" x14ac:dyDescent="0.3">
      <c r="A7" s="9">
        <v>3.24</v>
      </c>
      <c r="B7" s="10" t="s">
        <v>15</v>
      </c>
      <c r="C7" s="11">
        <v>242</v>
      </c>
      <c r="D7" s="12">
        <v>47</v>
      </c>
    </row>
    <row r="8" spans="1:6" ht="17.399999999999999" x14ac:dyDescent="0.3">
      <c r="A8" s="9">
        <v>4.28</v>
      </c>
      <c r="B8" s="10" t="s">
        <v>16</v>
      </c>
      <c r="C8" s="11">
        <v>310</v>
      </c>
      <c r="D8" s="12">
        <v>62</v>
      </c>
    </row>
    <row r="9" spans="1:6" ht="17.399999999999999" x14ac:dyDescent="0.3">
      <c r="A9" s="9">
        <v>4.28</v>
      </c>
      <c r="B9" s="10" t="s">
        <v>17</v>
      </c>
      <c r="C9" s="11">
        <v>123.6</v>
      </c>
      <c r="D9" s="12">
        <v>63</v>
      </c>
    </row>
    <row r="10" spans="1:6" ht="17.399999999999999" x14ac:dyDescent="0.3">
      <c r="A10" s="9">
        <v>4.3</v>
      </c>
      <c r="B10" s="10" t="s">
        <v>18</v>
      </c>
      <c r="C10" s="11">
        <v>395</v>
      </c>
      <c r="D10" s="12">
        <v>65</v>
      </c>
    </row>
    <row r="11" spans="1:6" ht="17.399999999999999" x14ac:dyDescent="0.3">
      <c r="A11" s="9">
        <v>5.01</v>
      </c>
      <c r="B11" s="10" t="s">
        <v>19</v>
      </c>
      <c r="C11" s="11">
        <v>110</v>
      </c>
      <c r="D11" s="12">
        <v>73</v>
      </c>
    </row>
    <row r="12" spans="1:6" ht="17.399999999999999" x14ac:dyDescent="0.3">
      <c r="A12" s="9">
        <v>5.0599999999999996</v>
      </c>
      <c r="B12" s="10" t="s">
        <v>20</v>
      </c>
      <c r="C12" s="11">
        <v>1700</v>
      </c>
      <c r="D12" s="12" t="s">
        <v>21</v>
      </c>
    </row>
    <row r="13" spans="1:6" ht="27.6" x14ac:dyDescent="0.3">
      <c r="A13" s="9">
        <v>3.3</v>
      </c>
      <c r="B13" s="10" t="s">
        <v>22</v>
      </c>
      <c r="C13" s="11">
        <v>528.66</v>
      </c>
      <c r="D13" s="12">
        <v>60</v>
      </c>
    </row>
    <row r="14" spans="1:6" ht="17.399999999999999" x14ac:dyDescent="0.3">
      <c r="A14" s="9">
        <v>5.18</v>
      </c>
      <c r="B14" s="10" t="s">
        <v>23</v>
      </c>
      <c r="C14" s="11">
        <v>689</v>
      </c>
      <c r="D14" s="12" t="s">
        <v>166</v>
      </c>
      <c r="F14" s="13" t="s">
        <v>167</v>
      </c>
    </row>
    <row r="15" spans="1:6" ht="17.399999999999999" x14ac:dyDescent="0.3">
      <c r="A15" s="9">
        <v>4.2300000000000004</v>
      </c>
      <c r="B15" s="10" t="s">
        <v>26</v>
      </c>
      <c r="C15" s="11">
        <v>630</v>
      </c>
      <c r="D15" s="12">
        <v>61</v>
      </c>
    </row>
    <row r="16" spans="1:6" ht="17.399999999999999" x14ac:dyDescent="0.3">
      <c r="A16" s="9">
        <v>4.28</v>
      </c>
      <c r="B16" s="10" t="s">
        <v>27</v>
      </c>
      <c r="C16" s="11">
        <v>144</v>
      </c>
      <c r="D16" s="12">
        <v>66</v>
      </c>
    </row>
    <row r="17" spans="1:4" ht="17.399999999999999" x14ac:dyDescent="0.3">
      <c r="A17" s="9">
        <v>3.3</v>
      </c>
      <c r="B17" s="10" t="s">
        <v>30</v>
      </c>
      <c r="C17" s="11">
        <v>3000</v>
      </c>
      <c r="D17" s="12" t="s">
        <v>31</v>
      </c>
    </row>
    <row r="19" spans="1:4" x14ac:dyDescent="0.25">
      <c r="C19" s="13">
        <f>SUM(C1:C17)</f>
        <v>12715.160000000002</v>
      </c>
    </row>
  </sheetData>
  <mergeCells count="1">
    <mergeCell ref="D2:D3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57E-D54F-48F5-93E5-32F481E8B182}">
  <dimension ref="A1:D23"/>
  <sheetViews>
    <sheetView topLeftCell="A7" workbookViewId="0">
      <selection activeCell="D33" sqref="D33"/>
    </sheetView>
  </sheetViews>
  <sheetFormatPr defaultRowHeight="13.8" x14ac:dyDescent="0.25"/>
  <cols>
    <col min="2" max="2" width="22.5546875" customWidth="1"/>
    <col min="3" max="3" width="19.88671875" customWidth="1"/>
    <col min="4" max="4" width="35" customWidth="1"/>
  </cols>
  <sheetData>
    <row r="1" spans="1:4" ht="27.6" x14ac:dyDescent="0.3">
      <c r="A1" s="41">
        <v>4.2699999999999996</v>
      </c>
      <c r="B1" s="42" t="s">
        <v>93</v>
      </c>
      <c r="C1" s="29">
        <v>150</v>
      </c>
      <c r="D1" s="30" t="s">
        <v>3</v>
      </c>
    </row>
    <row r="2" spans="1:4" ht="17.399999999999999" x14ac:dyDescent="0.3">
      <c r="A2" s="41">
        <v>5.21</v>
      </c>
      <c r="B2" s="42" t="s">
        <v>100</v>
      </c>
      <c r="C2" s="29">
        <v>15</v>
      </c>
      <c r="D2" s="30" t="s">
        <v>3</v>
      </c>
    </row>
    <row r="3" spans="1:4" ht="17.399999999999999" x14ac:dyDescent="0.3">
      <c r="A3" s="41">
        <v>5.21</v>
      </c>
      <c r="B3" s="42" t="s">
        <v>101</v>
      </c>
      <c r="C3" s="29">
        <v>20</v>
      </c>
      <c r="D3" s="30" t="s">
        <v>3</v>
      </c>
    </row>
    <row r="4" spans="1:4" ht="17.399999999999999" x14ac:dyDescent="0.3">
      <c r="A4" s="45">
        <v>5.27</v>
      </c>
      <c r="B4" s="46" t="s">
        <v>111</v>
      </c>
      <c r="C4" s="47">
        <v>100</v>
      </c>
      <c r="D4" s="47" t="s">
        <v>3</v>
      </c>
    </row>
    <row r="5" spans="1:4" ht="27.6" x14ac:dyDescent="0.3">
      <c r="A5" s="41">
        <v>5.01</v>
      </c>
      <c r="B5" s="42" t="s">
        <v>112</v>
      </c>
      <c r="C5" s="29">
        <v>2197</v>
      </c>
      <c r="D5" s="30" t="s">
        <v>171</v>
      </c>
    </row>
    <row r="6" spans="1:4" ht="20.399999999999999" x14ac:dyDescent="0.3">
      <c r="A6" s="48">
        <v>2026.01</v>
      </c>
      <c r="B6" s="49" t="s">
        <v>48</v>
      </c>
      <c r="C6" s="50">
        <v>500</v>
      </c>
      <c r="D6" s="30" t="s">
        <v>3</v>
      </c>
    </row>
    <row r="7" spans="1:4" ht="20.399999999999999" x14ac:dyDescent="0.3">
      <c r="A7" s="51">
        <v>2026.03</v>
      </c>
      <c r="B7" s="52" t="s">
        <v>32</v>
      </c>
      <c r="C7" s="50">
        <v>248</v>
      </c>
      <c r="D7" s="30" t="s">
        <v>3</v>
      </c>
    </row>
    <row r="8" spans="1:4" ht="20.399999999999999" x14ac:dyDescent="0.3">
      <c r="A8" s="51" t="s">
        <v>33</v>
      </c>
      <c r="B8" s="52" t="s">
        <v>32</v>
      </c>
      <c r="C8" s="50">
        <v>120</v>
      </c>
      <c r="D8" s="30" t="s">
        <v>3</v>
      </c>
    </row>
    <row r="9" spans="1:4" ht="27.6" x14ac:dyDescent="0.3">
      <c r="A9" s="41">
        <v>3.24</v>
      </c>
      <c r="B9" s="42" t="s">
        <v>35</v>
      </c>
      <c r="C9" s="29">
        <v>240</v>
      </c>
      <c r="D9" s="30" t="s">
        <v>3</v>
      </c>
    </row>
    <row r="10" spans="1:4" ht="27.6" x14ac:dyDescent="0.3">
      <c r="A10" s="41">
        <v>3.26</v>
      </c>
      <c r="B10" s="42" t="s">
        <v>36</v>
      </c>
      <c r="C10" s="29">
        <v>80</v>
      </c>
      <c r="D10" s="30" t="s">
        <v>3</v>
      </c>
    </row>
    <row r="11" spans="1:4" ht="27.6" x14ac:dyDescent="0.3">
      <c r="A11" s="41">
        <v>3.26</v>
      </c>
      <c r="B11" s="42" t="s">
        <v>37</v>
      </c>
      <c r="C11" s="29">
        <v>287</v>
      </c>
      <c r="D11" s="30" t="s">
        <v>3</v>
      </c>
    </row>
    <row r="12" spans="1:4" ht="17.399999999999999" x14ac:dyDescent="0.3">
      <c r="A12" s="41" t="s">
        <v>42</v>
      </c>
      <c r="B12" s="42" t="s">
        <v>43</v>
      </c>
      <c r="C12" s="29">
        <v>168</v>
      </c>
      <c r="D12" s="30" t="s">
        <v>3</v>
      </c>
    </row>
    <row r="13" spans="1:4" ht="17.399999999999999" x14ac:dyDescent="0.3">
      <c r="A13" s="41">
        <v>5.21</v>
      </c>
      <c r="B13" s="42" t="s">
        <v>47</v>
      </c>
      <c r="C13" s="29">
        <v>49</v>
      </c>
      <c r="D13" s="30" t="s">
        <v>3</v>
      </c>
    </row>
    <row r="14" spans="1:4" ht="17.399999999999999" x14ac:dyDescent="0.3">
      <c r="A14" s="41">
        <v>6.2</v>
      </c>
      <c r="B14" s="42" t="s">
        <v>24</v>
      </c>
      <c r="C14" s="29">
        <v>300</v>
      </c>
      <c r="D14" s="30" t="s">
        <v>3</v>
      </c>
    </row>
    <row r="15" spans="1:4" ht="17.399999999999999" x14ac:dyDescent="0.3">
      <c r="A15" s="41">
        <v>3.22</v>
      </c>
      <c r="B15" s="42" t="s">
        <v>25</v>
      </c>
      <c r="C15" s="29">
        <v>100</v>
      </c>
      <c r="D15" s="30" t="s">
        <v>3</v>
      </c>
    </row>
    <row r="16" spans="1:4" ht="17.399999999999999" x14ac:dyDescent="0.3">
      <c r="A16" s="41">
        <v>3.26</v>
      </c>
      <c r="B16" s="42" t="s">
        <v>23</v>
      </c>
      <c r="C16" s="29">
        <v>350</v>
      </c>
      <c r="D16" s="30" t="s">
        <v>3</v>
      </c>
    </row>
    <row r="17" spans="1:4" ht="17.399999999999999" x14ac:dyDescent="0.3">
      <c r="A17" s="41">
        <v>3.3</v>
      </c>
      <c r="B17" s="42" t="s">
        <v>28</v>
      </c>
      <c r="C17" s="29">
        <v>100</v>
      </c>
      <c r="D17" s="30" t="s">
        <v>29</v>
      </c>
    </row>
    <row r="18" spans="1:4" ht="27.6" x14ac:dyDescent="0.3">
      <c r="A18" s="41">
        <v>3.25</v>
      </c>
      <c r="B18" s="42" t="s">
        <v>135</v>
      </c>
      <c r="C18" s="29">
        <v>1300</v>
      </c>
      <c r="D18" s="30" t="s">
        <v>136</v>
      </c>
    </row>
    <row r="19" spans="1:4" ht="17.399999999999999" x14ac:dyDescent="0.3">
      <c r="A19" s="41">
        <v>3.23</v>
      </c>
      <c r="B19" s="42" t="s">
        <v>2</v>
      </c>
      <c r="C19" s="29">
        <v>200</v>
      </c>
      <c r="D19" s="30" t="s">
        <v>3</v>
      </c>
    </row>
    <row r="20" spans="1:4" ht="17.399999999999999" x14ac:dyDescent="0.3">
      <c r="A20" s="41">
        <v>3.22</v>
      </c>
      <c r="B20" s="42" t="s">
        <v>4</v>
      </c>
      <c r="C20" s="29">
        <v>200</v>
      </c>
      <c r="D20" s="30" t="s">
        <v>3</v>
      </c>
    </row>
    <row r="21" spans="1:4" ht="17.399999999999999" x14ac:dyDescent="0.3">
      <c r="A21" s="41">
        <v>3.23</v>
      </c>
      <c r="B21" s="42" t="s">
        <v>5</v>
      </c>
      <c r="C21" s="29">
        <v>2000</v>
      </c>
      <c r="D21" s="30" t="s">
        <v>6</v>
      </c>
    </row>
    <row r="22" spans="1:4" ht="27.6" x14ac:dyDescent="0.3">
      <c r="A22" s="41">
        <v>5.2</v>
      </c>
      <c r="B22" s="42" t="s">
        <v>10</v>
      </c>
      <c r="C22" s="29">
        <v>85</v>
      </c>
      <c r="D22" s="30" t="s">
        <v>3</v>
      </c>
    </row>
    <row r="23" spans="1:4" x14ac:dyDescent="0.25">
      <c r="C23">
        <f>SUM(C1:C22)</f>
        <v>8809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D11" sqref="D11"/>
    </sheetView>
  </sheetViews>
  <sheetFormatPr defaultRowHeight="13.8" x14ac:dyDescent="0.25"/>
  <cols>
    <col min="2" max="2" width="20.109375" customWidth="1"/>
    <col min="3" max="3" width="24" customWidth="1"/>
    <col min="4" max="4" width="40.109375" customWidth="1"/>
  </cols>
  <sheetData>
    <row r="1" spans="1:4" ht="33.6" x14ac:dyDescent="0.3">
      <c r="A1" s="1" t="s">
        <v>0</v>
      </c>
      <c r="B1" s="2" t="s">
        <v>1</v>
      </c>
      <c r="C1" s="3">
        <v>200</v>
      </c>
      <c r="D1" s="4">
        <v>22</v>
      </c>
    </row>
    <row r="2" spans="1:4" ht="17.399999999999999" x14ac:dyDescent="0.3">
      <c r="A2" s="5">
        <v>3.3</v>
      </c>
      <c r="B2" s="6" t="s">
        <v>7</v>
      </c>
      <c r="C2" s="7">
        <v>9115.0400000000009</v>
      </c>
      <c r="D2" s="4" t="s">
        <v>8</v>
      </c>
    </row>
    <row r="3" spans="1:4" ht="17.399999999999999" x14ac:dyDescent="0.3">
      <c r="A3" s="5">
        <v>3.3</v>
      </c>
      <c r="B3" s="6" t="s">
        <v>9</v>
      </c>
      <c r="C3" s="7">
        <v>3724.22</v>
      </c>
      <c r="D3" s="4" t="s">
        <v>172</v>
      </c>
    </row>
    <row r="5" spans="1:4" ht="24.6" customHeight="1" x14ac:dyDescent="0.25">
      <c r="C5">
        <f>SUM(C1:C3)</f>
        <v>13039.26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合计</vt:lpstr>
      <vt:lpstr>民工工资</vt:lpstr>
      <vt:lpstr>酒店</vt:lpstr>
      <vt:lpstr>差旅</vt:lpstr>
      <vt:lpstr>加油</vt:lpstr>
      <vt:lpstr>餐费</vt:lpstr>
      <vt:lpstr>其他</vt:lpstr>
      <vt:lpstr>无发票（全部计入5月份工资）</vt:lpstr>
      <vt:lpstr>行政类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P1368</dc:creator>
  <cp:lastModifiedBy>P13685877064@outlook.com</cp:lastModifiedBy>
  <dcterms:created xsi:type="dcterms:W3CDTF">2015-06-05T18:19:34Z</dcterms:created>
  <dcterms:modified xsi:type="dcterms:W3CDTF">2026-06-08T11:48:57Z</dcterms:modified>
</cp:coreProperties>
</file>