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P1368\Desktop\5月份工资清单\"/>
    </mc:Choice>
  </mc:AlternateContent>
  <xr:revisionPtr revIDLastSave="0" documentId="13_ncr:1_{9F13030B-F89B-47E9-8703-2FD0796D5728}" xr6:coauthVersionLast="47" xr6:coauthVersionMax="47" xr10:uidLastSave="{00000000-0000-0000-0000-000000000000}"/>
  <bookViews>
    <workbookView xWindow="-108" yWindow="-108" windowWidth="23256" windowHeight="13896" activeTab="1" xr2:uid="{00000000-000D-0000-FFFF-FFFF00000000}"/>
  </bookViews>
  <sheets>
    <sheet name="Sheet2" sheetId="2" r:id="rId1"/>
    <sheet name="真实清单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5" i="1" l="1"/>
  <c r="I4" i="1"/>
  <c r="D33" i="1"/>
  <c r="J7" i="2"/>
  <c r="D10" i="2"/>
  <c r="G15" i="2" l="1"/>
  <c r="G16" i="2"/>
  <c r="G17" i="2"/>
  <c r="H16" i="1" l="1"/>
  <c r="D32" i="1"/>
  <c r="D16" i="1"/>
  <c r="D20" i="1"/>
  <c r="D30" i="1"/>
  <c r="D29" i="1"/>
  <c r="D28" i="1"/>
  <c r="D24" i="1"/>
  <c r="D25" i="1"/>
  <c r="D26" i="1"/>
  <c r="D27" i="1"/>
  <c r="D23" i="1"/>
  <c r="D17" i="1"/>
  <c r="D18" i="1"/>
  <c r="D19" i="1"/>
  <c r="D21" i="1"/>
  <c r="D22" i="1"/>
  <c r="D4" i="1"/>
  <c r="D15" i="1" s="1"/>
  <c r="D5" i="1"/>
  <c r="D6" i="1"/>
  <c r="D7" i="1"/>
  <c r="D8" i="1"/>
  <c r="D9" i="1"/>
  <c r="D10" i="1"/>
  <c r="D11" i="1"/>
  <c r="D12" i="1"/>
  <c r="D13" i="1"/>
  <c r="D14" i="1"/>
</calcChain>
</file>

<file path=xl/sharedStrings.xml><?xml version="1.0" encoding="utf-8"?>
<sst xmlns="http://schemas.openxmlformats.org/spreadsheetml/2006/main" count="97" uniqueCount="48">
  <si>
    <t>日期</t>
    <phoneticPr fontId="1" type="noConversion"/>
  </si>
  <si>
    <t>人数</t>
    <phoneticPr fontId="1" type="noConversion"/>
  </si>
  <si>
    <t>单价</t>
    <phoneticPr fontId="1" type="noConversion"/>
  </si>
  <si>
    <t>金额</t>
    <phoneticPr fontId="1" type="noConversion"/>
  </si>
  <si>
    <t>工种</t>
    <phoneticPr fontId="1" type="noConversion"/>
  </si>
  <si>
    <t>采挖元胡</t>
    <phoneticPr fontId="1" type="noConversion"/>
  </si>
  <si>
    <t>党参打药</t>
    <phoneticPr fontId="1" type="noConversion"/>
  </si>
  <si>
    <t>党参育苗</t>
    <phoneticPr fontId="1" type="noConversion"/>
  </si>
  <si>
    <t>已经支付</t>
    <phoneticPr fontId="1" type="noConversion"/>
  </si>
  <si>
    <t>备注</t>
    <phoneticPr fontId="1" type="noConversion"/>
  </si>
  <si>
    <t>元胡拔草</t>
    <phoneticPr fontId="1" type="noConversion"/>
  </si>
  <si>
    <t>党参拔草</t>
    <phoneticPr fontId="1" type="noConversion"/>
  </si>
  <si>
    <t>挖元胡</t>
    <phoneticPr fontId="1" type="noConversion"/>
  </si>
  <si>
    <t>党参育苗打药</t>
    <phoneticPr fontId="1" type="noConversion"/>
  </si>
  <si>
    <t>拔草党参</t>
    <phoneticPr fontId="1" type="noConversion"/>
  </si>
  <si>
    <t>金银花除草</t>
    <phoneticPr fontId="1" type="noConversion"/>
  </si>
  <si>
    <t>基地5月份农民工工资</t>
    <phoneticPr fontId="1" type="noConversion"/>
  </si>
  <si>
    <t>元胡拔草/金银花草/党参草</t>
    <phoneticPr fontId="1" type="noConversion"/>
  </si>
  <si>
    <t xml:space="preserve"> </t>
    <phoneticPr fontId="1" type="noConversion"/>
  </si>
  <si>
    <t>2026.5.30</t>
    <phoneticPr fontId="1" type="noConversion"/>
  </si>
  <si>
    <t>2026.5.31</t>
    <phoneticPr fontId="1" type="noConversion"/>
  </si>
  <si>
    <t>2026.4.30</t>
    <phoneticPr fontId="1" type="noConversion"/>
  </si>
  <si>
    <t>施前华</t>
    <phoneticPr fontId="1" type="noConversion"/>
  </si>
  <si>
    <t>4.27/5.9/5.21</t>
    <phoneticPr fontId="1" type="noConversion"/>
  </si>
  <si>
    <t>庞尚韬</t>
    <phoneticPr fontId="1" type="noConversion"/>
  </si>
  <si>
    <t>任海涛</t>
    <phoneticPr fontId="1" type="noConversion"/>
  </si>
  <si>
    <t>合计</t>
    <phoneticPr fontId="1" type="noConversion"/>
  </si>
  <si>
    <t>出差补助</t>
    <phoneticPr fontId="1" type="noConversion"/>
  </si>
  <si>
    <t>工资</t>
    <phoneticPr fontId="1" type="noConversion"/>
  </si>
  <si>
    <t>身份证号码</t>
  </si>
  <si>
    <t>姓名</t>
  </si>
  <si>
    <t>序号</t>
    <phoneticPr fontId="1" type="noConversion"/>
  </si>
  <si>
    <t>2026年5月份报财务公司员工工资清单</t>
    <phoneticPr fontId="1" type="noConversion"/>
  </si>
  <si>
    <t>513435199903034849</t>
  </si>
  <si>
    <t>施娇</t>
    <phoneticPr fontId="1" type="noConversion"/>
  </si>
  <si>
    <t>513435197702074837</t>
  </si>
  <si>
    <t>施前华</t>
  </si>
  <si>
    <t>511823200804165747</t>
  </si>
  <si>
    <t>罗敏</t>
  </si>
  <si>
    <t>513435200408204834</t>
  </si>
  <si>
    <t>施城</t>
  </si>
  <si>
    <t>513435198005244831</t>
  </si>
  <si>
    <t>杨基松</t>
  </si>
  <si>
    <t>513435198405054885</t>
  </si>
  <si>
    <t>施光丹</t>
  </si>
  <si>
    <t>2026年5月份报财务种植农民工工资清单</t>
    <phoneticPr fontId="1" type="noConversion"/>
  </si>
  <si>
    <t>其中真实为16920，8809为庞尚韬没有发票报销部分</t>
    <phoneticPr fontId="1" type="noConversion"/>
  </si>
  <si>
    <t>6.19支付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</si>
</sst>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;@"/>
  </numFmts>
  <fonts count="11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8"/>
      <name val="等线"/>
      <family val="3"/>
      <charset val="134"/>
      <scheme val="minor"/>
    </font>
    <font>
      <sz val="11"/>
      <name val="等线"/>
      <family val="3"/>
      <charset val="134"/>
      <scheme val="minor"/>
    </font>
    <font>
      <b/>
      <sz val="11"/>
      <name val="等线"/>
      <family val="3"/>
      <charset val="134"/>
      <scheme val="minor"/>
    </font>
    <font>
      <sz val="11"/>
      <color theme="1"/>
      <name val="黑体"/>
      <family val="3"/>
      <charset val="134"/>
    </font>
    <font>
      <sz val="12"/>
      <color theme="1"/>
      <name val="黑体"/>
      <family val="3"/>
      <charset val="134"/>
    </font>
    <font>
      <b/>
      <sz val="12"/>
      <color rgb="FFFFFFFF"/>
      <name val="黑体"/>
      <family val="3"/>
      <charset val="134"/>
    </font>
    <font>
      <b/>
      <sz val="16"/>
      <color theme="1"/>
      <name val="仿宋"/>
      <family val="3"/>
      <charset val="134"/>
    </font>
    <font>
      <sz val="10"/>
      <name val="黑体"/>
      <family val="3"/>
      <charset val="134"/>
    </font>
    <font>
      <b/>
      <sz val="18"/>
      <name val="等线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3" fillId="0" borderId="0" xfId="0" applyFont="1" applyAlignment="1">
      <alignment horizontal="center"/>
    </xf>
    <xf numFmtId="0" fontId="5" fillId="0" borderId="1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7" fillId="2" borderId="1" xfId="0" applyFont="1" applyFill="1" applyBorder="1" applyAlignment="1">
      <alignment horizontal="center" vertical="center"/>
    </xf>
    <xf numFmtId="0" fontId="5" fillId="0" borderId="0" xfId="0" applyFont="1" applyAlignment="1">
      <alignment horizontal="center"/>
    </xf>
    <xf numFmtId="49" fontId="5" fillId="0" borderId="1" xfId="0" applyNumberFormat="1" applyFont="1" applyBorder="1" applyAlignment="1">
      <alignment horizontal="center"/>
    </xf>
    <xf numFmtId="0" fontId="9" fillId="0" borderId="1" xfId="0" applyFont="1" applyBorder="1" applyAlignment="1">
      <alignment horizontal="center" vertical="center" wrapText="1"/>
    </xf>
    <xf numFmtId="0" fontId="6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8" fillId="3" borderId="2" xfId="0" applyFont="1" applyFill="1" applyBorder="1" applyAlignment="1">
      <alignment horizontal="center"/>
    </xf>
    <xf numFmtId="0" fontId="8" fillId="3" borderId="0" xfId="0" applyFont="1" applyFill="1" applyAlignment="1">
      <alignment horizontal="center"/>
    </xf>
    <xf numFmtId="0" fontId="5" fillId="0" borderId="4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5" fillId="0" borderId="1" xfId="0" applyFont="1" applyBorder="1" applyAlignment="1">
      <alignment horizontal="center" wrapText="1"/>
    </xf>
    <xf numFmtId="0" fontId="2" fillId="3" borderId="2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0" fontId="10" fillId="3" borderId="1" xfId="0" applyFont="1" applyFill="1" applyBorder="1" applyAlignment="1">
      <alignment horizontal="center"/>
    </xf>
    <xf numFmtId="176" fontId="4" fillId="3" borderId="1" xfId="0" applyNumberFormat="1" applyFont="1" applyFill="1" applyBorder="1" applyAlignment="1">
      <alignment horizontal="center"/>
    </xf>
    <xf numFmtId="0" fontId="4" fillId="3" borderId="1" xfId="0" applyFont="1" applyFill="1" applyBorder="1" applyAlignment="1">
      <alignment horizontal="center"/>
    </xf>
    <xf numFmtId="0" fontId="4" fillId="3" borderId="0" xfId="0" applyFont="1" applyFill="1" applyAlignment="1">
      <alignment horizontal="center"/>
    </xf>
    <xf numFmtId="0" fontId="3" fillId="3" borderId="0" xfId="0" applyFont="1" applyFill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A7ED24-41EC-4EDB-B5BC-90B69849B20E}">
  <dimension ref="A1:J17"/>
  <sheetViews>
    <sheetView workbookViewId="0">
      <selection activeCell="O7" sqref="O7"/>
    </sheetView>
  </sheetViews>
  <sheetFormatPr defaultRowHeight="13.8" x14ac:dyDescent="0.25"/>
  <cols>
    <col min="3" max="3" width="19.6640625" customWidth="1"/>
    <col min="4" max="4" width="21.109375" customWidth="1"/>
    <col min="5" max="5" width="19.109375" customWidth="1"/>
    <col min="6" max="6" width="25.109375" customWidth="1"/>
  </cols>
  <sheetData>
    <row r="1" spans="1:10" ht="43.2" customHeight="1" x14ac:dyDescent="0.3">
      <c r="A1" s="10" t="s">
        <v>45</v>
      </c>
      <c r="B1" s="10"/>
      <c r="C1" s="10"/>
      <c r="D1" s="10"/>
      <c r="E1" s="10"/>
      <c r="F1" s="5"/>
      <c r="G1" s="5"/>
    </row>
    <row r="2" spans="1:10" ht="15.6" x14ac:dyDescent="0.25">
      <c r="A2" s="3" t="s">
        <v>31</v>
      </c>
      <c r="B2" s="4" t="s">
        <v>30</v>
      </c>
      <c r="C2" s="4" t="s">
        <v>29</v>
      </c>
      <c r="D2" s="3" t="s">
        <v>28</v>
      </c>
      <c r="E2" s="3" t="s">
        <v>9</v>
      </c>
      <c r="F2" s="8"/>
      <c r="G2" s="8"/>
    </row>
    <row r="3" spans="1:10" ht="14.4" x14ac:dyDescent="0.25">
      <c r="A3" s="2">
        <v>1</v>
      </c>
      <c r="B3" s="7" t="s">
        <v>44</v>
      </c>
      <c r="C3" s="7" t="s">
        <v>43</v>
      </c>
      <c r="D3" s="2">
        <v>4000</v>
      </c>
      <c r="E3" s="14" t="s">
        <v>46</v>
      </c>
      <c r="F3" s="5"/>
      <c r="G3" s="5"/>
    </row>
    <row r="4" spans="1:10" ht="14.4" x14ac:dyDescent="0.25">
      <c r="A4" s="2">
        <v>2</v>
      </c>
      <c r="B4" s="7" t="s">
        <v>42</v>
      </c>
      <c r="C4" s="7" t="s">
        <v>41</v>
      </c>
      <c r="D4" s="2">
        <v>3800</v>
      </c>
      <c r="E4" s="14"/>
      <c r="F4" s="5"/>
      <c r="G4" s="5"/>
      <c r="J4">
        <v>8809</v>
      </c>
    </row>
    <row r="5" spans="1:10" ht="14.4" x14ac:dyDescent="0.25">
      <c r="A5" s="2">
        <v>3</v>
      </c>
      <c r="B5" s="7" t="s">
        <v>40</v>
      </c>
      <c r="C5" s="7" t="s">
        <v>39</v>
      </c>
      <c r="D5" s="2">
        <v>3500</v>
      </c>
      <c r="E5" s="14"/>
      <c r="F5" s="5"/>
      <c r="G5" s="5"/>
    </row>
    <row r="6" spans="1:10" ht="14.4" x14ac:dyDescent="0.25">
      <c r="A6" s="2">
        <v>4</v>
      </c>
      <c r="B6" s="7" t="s">
        <v>38</v>
      </c>
      <c r="C6" s="7" t="s">
        <v>37</v>
      </c>
      <c r="D6" s="2">
        <v>4839</v>
      </c>
      <c r="E6" s="14"/>
      <c r="F6" s="5"/>
      <c r="G6" s="5"/>
      <c r="J6">
        <v>16920</v>
      </c>
    </row>
    <row r="7" spans="1:10" ht="14.4" x14ac:dyDescent="0.25">
      <c r="A7" s="2">
        <v>5</v>
      </c>
      <c r="B7" s="7" t="s">
        <v>36</v>
      </c>
      <c r="C7" s="7" t="s">
        <v>35</v>
      </c>
      <c r="D7" s="2">
        <v>4830</v>
      </c>
      <c r="E7" s="14"/>
      <c r="F7" s="5"/>
      <c r="G7" s="5"/>
      <c r="J7">
        <f>SUM(J4:J6)</f>
        <v>25729</v>
      </c>
    </row>
    <row r="8" spans="1:10" ht="14.4" x14ac:dyDescent="0.25">
      <c r="A8" s="2">
        <v>6</v>
      </c>
      <c r="B8" s="7" t="s">
        <v>34</v>
      </c>
      <c r="C8" s="6" t="s">
        <v>33</v>
      </c>
      <c r="D8" s="2">
        <v>4760</v>
      </c>
      <c r="E8" s="14"/>
      <c r="F8" s="5"/>
      <c r="G8" s="5"/>
    </row>
    <row r="9" spans="1:10" ht="14.4" x14ac:dyDescent="0.25">
      <c r="A9" s="2"/>
      <c r="B9" s="2"/>
      <c r="C9" s="2"/>
      <c r="D9" s="2" t="s">
        <v>18</v>
      </c>
      <c r="E9" s="14"/>
      <c r="F9" s="5"/>
      <c r="G9" s="5"/>
    </row>
    <row r="10" spans="1:10" ht="14.4" x14ac:dyDescent="0.25">
      <c r="A10" s="5"/>
      <c r="B10" s="5"/>
      <c r="C10" s="5"/>
      <c r="D10" s="5">
        <f>SUM(D3:D8)</f>
        <v>25729</v>
      </c>
      <c r="E10" s="5"/>
      <c r="F10" s="5"/>
      <c r="G10" s="5"/>
    </row>
    <row r="11" spans="1:10" ht="14.4" x14ac:dyDescent="0.25">
      <c r="A11" s="5"/>
      <c r="B11" s="5"/>
      <c r="C11" s="5"/>
      <c r="D11" s="5"/>
      <c r="E11" s="5"/>
      <c r="F11" s="5"/>
      <c r="G11" s="5"/>
    </row>
    <row r="12" spans="1:10" ht="14.4" x14ac:dyDescent="0.25">
      <c r="A12" s="5"/>
      <c r="B12" s="5"/>
      <c r="C12" s="5"/>
      <c r="D12" s="5"/>
      <c r="E12" s="5"/>
      <c r="F12" s="5"/>
      <c r="G12" s="5"/>
    </row>
    <row r="13" spans="1:10" ht="20.399999999999999" x14ac:dyDescent="0.3">
      <c r="A13" s="10" t="s">
        <v>32</v>
      </c>
      <c r="B13" s="11"/>
      <c r="C13" s="11"/>
      <c r="D13" s="11"/>
      <c r="E13" s="11"/>
      <c r="F13" s="5"/>
      <c r="G13" s="5"/>
    </row>
    <row r="14" spans="1:10" ht="15.6" x14ac:dyDescent="0.25">
      <c r="A14" s="3" t="s">
        <v>31</v>
      </c>
      <c r="B14" s="4" t="s">
        <v>30</v>
      </c>
      <c r="C14" s="4" t="s">
        <v>29</v>
      </c>
      <c r="D14" s="3" t="s">
        <v>28</v>
      </c>
      <c r="E14" s="12" t="s">
        <v>27</v>
      </c>
      <c r="F14" s="13"/>
      <c r="G14" s="2" t="s">
        <v>26</v>
      </c>
    </row>
    <row r="15" spans="1:10" ht="14.4" x14ac:dyDescent="0.25">
      <c r="A15" s="2">
        <v>1</v>
      </c>
      <c r="B15" s="2" t="s">
        <v>25</v>
      </c>
      <c r="C15" s="2"/>
      <c r="D15" s="2">
        <v>5000</v>
      </c>
      <c r="E15" s="2"/>
      <c r="F15" s="2"/>
      <c r="G15" s="2">
        <f>D15+E15</f>
        <v>5000</v>
      </c>
    </row>
    <row r="16" spans="1:10" ht="14.4" x14ac:dyDescent="0.25">
      <c r="A16" s="2">
        <v>2</v>
      </c>
      <c r="B16" s="2" t="s">
        <v>24</v>
      </c>
      <c r="C16" s="2"/>
      <c r="D16" s="2">
        <v>5000</v>
      </c>
      <c r="E16" s="2">
        <v>1050</v>
      </c>
      <c r="F16" s="2" t="s">
        <v>23</v>
      </c>
      <c r="G16" s="2">
        <f>D16+E16</f>
        <v>6050</v>
      </c>
    </row>
    <row r="17" spans="1:7" ht="14.4" x14ac:dyDescent="0.25">
      <c r="A17" s="2">
        <v>3</v>
      </c>
      <c r="B17" s="2" t="s">
        <v>22</v>
      </c>
      <c r="C17" s="2"/>
      <c r="D17" s="2">
        <v>4000</v>
      </c>
      <c r="E17" s="2">
        <v>0</v>
      </c>
      <c r="F17" s="2">
        <v>0</v>
      </c>
      <c r="G17" s="2">
        <f>D17+E17</f>
        <v>4000</v>
      </c>
    </row>
  </sheetData>
  <mergeCells count="4">
    <mergeCell ref="A13:E13"/>
    <mergeCell ref="E14:F14"/>
    <mergeCell ref="E3:E9"/>
    <mergeCell ref="A1:E1"/>
  </mergeCells>
  <phoneticPr fontId="1" type="noConversion"/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3"/>
  <sheetViews>
    <sheetView tabSelected="1" topLeftCell="A26" workbookViewId="0">
      <selection activeCell="L30" sqref="L30"/>
    </sheetView>
  </sheetViews>
  <sheetFormatPr defaultRowHeight="33" customHeight="1" x14ac:dyDescent="0.25"/>
  <cols>
    <col min="1" max="1" width="12.6640625" style="1" bestFit="1" customWidth="1"/>
    <col min="2" max="3" width="8.88671875" style="1"/>
    <col min="4" max="4" width="14" style="1" customWidth="1"/>
    <col min="5" max="5" width="24.21875" style="1" customWidth="1"/>
    <col min="6" max="16384" width="8.88671875" style="1"/>
  </cols>
  <sheetData>
    <row r="1" spans="1:15" ht="33" customHeight="1" x14ac:dyDescent="0.4">
      <c r="A1" s="15" t="s">
        <v>16</v>
      </c>
      <c r="B1" s="15"/>
      <c r="C1" s="15"/>
      <c r="D1" s="15"/>
      <c r="E1" s="15"/>
      <c r="F1" s="15"/>
    </row>
    <row r="2" spans="1:15" ht="33" customHeight="1" x14ac:dyDescent="0.25">
      <c r="A2" s="16" t="s">
        <v>0</v>
      </c>
      <c r="B2" s="16" t="s">
        <v>1</v>
      </c>
      <c r="C2" s="16" t="s">
        <v>2</v>
      </c>
      <c r="D2" s="16" t="s">
        <v>3</v>
      </c>
      <c r="E2" s="16" t="s">
        <v>4</v>
      </c>
      <c r="F2" s="16" t="s">
        <v>9</v>
      </c>
    </row>
    <row r="3" spans="1:15" ht="33" customHeight="1" x14ac:dyDescent="0.25">
      <c r="A3" s="16">
        <v>15</v>
      </c>
      <c r="B3" s="16">
        <v>1.5</v>
      </c>
      <c r="C3" s="16">
        <v>120</v>
      </c>
      <c r="D3" s="16">
        <v>180</v>
      </c>
      <c r="E3" s="16" t="s">
        <v>5</v>
      </c>
      <c r="F3" s="16" t="s">
        <v>8</v>
      </c>
      <c r="H3" s="1" t="s">
        <v>18</v>
      </c>
    </row>
    <row r="4" spans="1:15" ht="33" customHeight="1" x14ac:dyDescent="0.25">
      <c r="A4" s="16">
        <v>16</v>
      </c>
      <c r="B4" s="16">
        <v>5</v>
      </c>
      <c r="C4" s="16">
        <v>120</v>
      </c>
      <c r="D4" s="16">
        <f t="shared" ref="D4:D30" si="0">B4*C4</f>
        <v>600</v>
      </c>
      <c r="E4" s="16" t="s">
        <v>5</v>
      </c>
      <c r="F4" s="16" t="s">
        <v>8</v>
      </c>
      <c r="I4" s="1">
        <f>D4+D3+D7+D8+D11+D13+D14+D21+D23+D25</f>
        <v>6720</v>
      </c>
    </row>
    <row r="5" spans="1:15" ht="33" customHeight="1" x14ac:dyDescent="0.25">
      <c r="A5" s="16">
        <v>16</v>
      </c>
      <c r="B5" s="16">
        <v>1.5</v>
      </c>
      <c r="C5" s="16">
        <v>120</v>
      </c>
      <c r="D5" s="16">
        <f t="shared" si="0"/>
        <v>180</v>
      </c>
      <c r="E5" s="16" t="s">
        <v>6</v>
      </c>
      <c r="F5" s="16" t="s">
        <v>8</v>
      </c>
      <c r="M5" s="1">
        <v>7000</v>
      </c>
      <c r="N5" s="1">
        <v>3</v>
      </c>
      <c r="O5" s="1">
        <f>M5/N5</f>
        <v>2333.3333333333335</v>
      </c>
    </row>
    <row r="6" spans="1:15" ht="33" customHeight="1" x14ac:dyDescent="0.25">
      <c r="A6" s="16">
        <v>16</v>
      </c>
      <c r="B6" s="16">
        <v>6</v>
      </c>
      <c r="C6" s="16">
        <v>120</v>
      </c>
      <c r="D6" s="16">
        <f t="shared" si="0"/>
        <v>720</v>
      </c>
      <c r="E6" s="16" t="s">
        <v>7</v>
      </c>
      <c r="F6" s="16" t="s">
        <v>8</v>
      </c>
    </row>
    <row r="7" spans="1:15" ht="33" customHeight="1" x14ac:dyDescent="0.25">
      <c r="A7" s="16">
        <v>17</v>
      </c>
      <c r="B7" s="16">
        <v>5</v>
      </c>
      <c r="C7" s="16">
        <v>120</v>
      </c>
      <c r="D7" s="16">
        <f t="shared" si="0"/>
        <v>600</v>
      </c>
      <c r="E7" s="16" t="s">
        <v>5</v>
      </c>
      <c r="F7" s="16" t="s">
        <v>8</v>
      </c>
    </row>
    <row r="8" spans="1:15" ht="33" customHeight="1" x14ac:dyDescent="0.25">
      <c r="A8" s="16">
        <v>19</v>
      </c>
      <c r="B8" s="16">
        <v>12</v>
      </c>
      <c r="C8" s="16">
        <v>120</v>
      </c>
      <c r="D8" s="16">
        <f t="shared" si="0"/>
        <v>1440</v>
      </c>
      <c r="E8" s="16" t="s">
        <v>5</v>
      </c>
      <c r="F8" s="16" t="s">
        <v>8</v>
      </c>
    </row>
    <row r="9" spans="1:15" ht="33" customHeight="1" x14ac:dyDescent="0.25">
      <c r="A9" s="16">
        <v>20</v>
      </c>
      <c r="B9" s="16">
        <v>7</v>
      </c>
      <c r="C9" s="16">
        <v>120</v>
      </c>
      <c r="D9" s="16">
        <f t="shared" si="0"/>
        <v>840</v>
      </c>
      <c r="E9" s="16" t="s">
        <v>7</v>
      </c>
      <c r="F9" s="16" t="s">
        <v>8</v>
      </c>
    </row>
    <row r="10" spans="1:15" ht="33" customHeight="1" x14ac:dyDescent="0.25">
      <c r="A10" s="16">
        <v>20</v>
      </c>
      <c r="B10" s="16">
        <v>2</v>
      </c>
      <c r="C10" s="16">
        <v>120</v>
      </c>
      <c r="D10" s="16">
        <f t="shared" si="0"/>
        <v>240</v>
      </c>
      <c r="E10" s="16" t="s">
        <v>6</v>
      </c>
      <c r="F10" s="16" t="s">
        <v>8</v>
      </c>
    </row>
    <row r="11" spans="1:15" ht="33" customHeight="1" x14ac:dyDescent="0.25">
      <c r="A11" s="16">
        <v>20</v>
      </c>
      <c r="B11" s="16">
        <v>3</v>
      </c>
      <c r="C11" s="16">
        <v>120</v>
      </c>
      <c r="D11" s="16">
        <f t="shared" si="0"/>
        <v>360</v>
      </c>
      <c r="E11" s="16" t="s">
        <v>5</v>
      </c>
      <c r="F11" s="16" t="s">
        <v>8</v>
      </c>
    </row>
    <row r="12" spans="1:15" ht="33" customHeight="1" x14ac:dyDescent="0.25">
      <c r="A12" s="16">
        <v>21</v>
      </c>
      <c r="B12" s="16">
        <v>7</v>
      </c>
      <c r="C12" s="16">
        <v>120</v>
      </c>
      <c r="D12" s="16">
        <f t="shared" si="0"/>
        <v>840</v>
      </c>
      <c r="E12" s="16" t="s">
        <v>7</v>
      </c>
      <c r="F12" s="16" t="s">
        <v>8</v>
      </c>
      <c r="I12" s="9"/>
    </row>
    <row r="13" spans="1:15" ht="33" customHeight="1" x14ac:dyDescent="0.25">
      <c r="A13" s="16">
        <v>21</v>
      </c>
      <c r="B13" s="16">
        <v>4</v>
      </c>
      <c r="C13" s="16">
        <v>120</v>
      </c>
      <c r="D13" s="16">
        <f t="shared" si="0"/>
        <v>480</v>
      </c>
      <c r="E13" s="16" t="s">
        <v>5</v>
      </c>
      <c r="F13" s="16" t="s">
        <v>8</v>
      </c>
    </row>
    <row r="14" spans="1:15" ht="33" customHeight="1" x14ac:dyDescent="0.25">
      <c r="A14" s="16">
        <v>22</v>
      </c>
      <c r="B14" s="16">
        <v>13</v>
      </c>
      <c r="C14" s="16">
        <v>120</v>
      </c>
      <c r="D14" s="16">
        <f t="shared" si="0"/>
        <v>1560</v>
      </c>
      <c r="E14" s="16" t="s">
        <v>5</v>
      </c>
      <c r="F14" s="16" t="s">
        <v>8</v>
      </c>
    </row>
    <row r="15" spans="1:15" ht="33" customHeight="1" x14ac:dyDescent="0.4">
      <c r="A15" s="16"/>
      <c r="B15" s="16"/>
      <c r="C15" s="16"/>
      <c r="D15" s="17">
        <f>SUM(D3:D14)</f>
        <v>8040</v>
      </c>
      <c r="E15" s="16"/>
      <c r="F15" s="16"/>
    </row>
    <row r="16" spans="1:15" ht="33" customHeight="1" x14ac:dyDescent="0.25">
      <c r="A16" s="18" t="s">
        <v>21</v>
      </c>
      <c r="B16" s="19">
        <v>4.5</v>
      </c>
      <c r="C16" s="19">
        <v>120</v>
      </c>
      <c r="D16" s="19">
        <f t="shared" si="0"/>
        <v>540</v>
      </c>
      <c r="E16" s="19" t="s">
        <v>10</v>
      </c>
      <c r="F16" s="16" t="s">
        <v>47</v>
      </c>
      <c r="H16" s="1">
        <f>D15+D32</f>
        <v>16920</v>
      </c>
    </row>
    <row r="17" spans="1:6" ht="33" customHeight="1" x14ac:dyDescent="0.25">
      <c r="A17" s="19">
        <v>5.01</v>
      </c>
      <c r="B17" s="19">
        <v>7</v>
      </c>
      <c r="C17" s="19">
        <v>120</v>
      </c>
      <c r="D17" s="19">
        <f t="shared" si="0"/>
        <v>840</v>
      </c>
      <c r="E17" s="19" t="s">
        <v>17</v>
      </c>
      <c r="F17" s="16" t="s">
        <v>47</v>
      </c>
    </row>
    <row r="18" spans="1:6" ht="33" customHeight="1" x14ac:dyDescent="0.25">
      <c r="A18" s="16">
        <v>5.04</v>
      </c>
      <c r="B18" s="16">
        <v>12</v>
      </c>
      <c r="C18" s="16">
        <v>120</v>
      </c>
      <c r="D18" s="16">
        <f t="shared" si="0"/>
        <v>1440</v>
      </c>
      <c r="E18" s="16" t="s">
        <v>11</v>
      </c>
      <c r="F18" s="16" t="s">
        <v>47</v>
      </c>
    </row>
    <row r="19" spans="1:6" ht="33" customHeight="1" x14ac:dyDescent="0.25">
      <c r="A19" s="16">
        <v>5.05</v>
      </c>
      <c r="B19" s="16">
        <v>5</v>
      </c>
      <c r="C19" s="16">
        <v>120</v>
      </c>
      <c r="D19" s="16">
        <f t="shared" si="0"/>
        <v>600</v>
      </c>
      <c r="E19" s="16" t="s">
        <v>11</v>
      </c>
      <c r="F19" s="16" t="s">
        <v>47</v>
      </c>
    </row>
    <row r="20" spans="1:6" ht="33" customHeight="1" x14ac:dyDescent="0.25">
      <c r="A20" s="16">
        <v>5.09</v>
      </c>
      <c r="B20" s="16">
        <v>1</v>
      </c>
      <c r="C20" s="16">
        <v>120</v>
      </c>
      <c r="D20" s="16">
        <f t="shared" si="0"/>
        <v>120</v>
      </c>
      <c r="E20" s="16" t="s">
        <v>11</v>
      </c>
      <c r="F20" s="16" t="s">
        <v>47</v>
      </c>
    </row>
    <row r="21" spans="1:6" ht="33" customHeight="1" x14ac:dyDescent="0.25">
      <c r="A21" s="19">
        <v>5.23</v>
      </c>
      <c r="B21" s="19">
        <v>7</v>
      </c>
      <c r="C21" s="19">
        <v>120</v>
      </c>
      <c r="D21" s="19">
        <f t="shared" si="0"/>
        <v>840</v>
      </c>
      <c r="E21" s="19" t="s">
        <v>5</v>
      </c>
      <c r="F21" s="16" t="s">
        <v>47</v>
      </c>
    </row>
    <row r="22" spans="1:6" ht="33" customHeight="1" x14ac:dyDescent="0.25">
      <c r="A22" s="19">
        <v>5.23</v>
      </c>
      <c r="B22" s="19">
        <v>5</v>
      </c>
      <c r="C22" s="19">
        <v>120</v>
      </c>
      <c r="D22" s="19">
        <f t="shared" si="0"/>
        <v>600</v>
      </c>
      <c r="E22" s="19" t="s">
        <v>6</v>
      </c>
      <c r="F22" s="16" t="s">
        <v>47</v>
      </c>
    </row>
    <row r="23" spans="1:6" ht="33" customHeight="1" x14ac:dyDescent="0.25">
      <c r="A23" s="19">
        <v>5.23</v>
      </c>
      <c r="B23" s="19">
        <v>0.5</v>
      </c>
      <c r="C23" s="19">
        <v>120</v>
      </c>
      <c r="D23" s="19">
        <f t="shared" si="0"/>
        <v>60</v>
      </c>
      <c r="E23" s="19" t="s">
        <v>12</v>
      </c>
      <c r="F23" s="16" t="s">
        <v>47</v>
      </c>
    </row>
    <row r="24" spans="1:6" ht="33" customHeight="1" x14ac:dyDescent="0.25">
      <c r="A24" s="19">
        <v>5.24</v>
      </c>
      <c r="B24" s="19">
        <v>4</v>
      </c>
      <c r="C24" s="19">
        <v>120</v>
      </c>
      <c r="D24" s="19">
        <f t="shared" si="0"/>
        <v>480</v>
      </c>
      <c r="E24" s="19" t="s">
        <v>6</v>
      </c>
      <c r="F24" s="16" t="s">
        <v>47</v>
      </c>
    </row>
    <row r="25" spans="1:6" ht="33" customHeight="1" x14ac:dyDescent="0.25">
      <c r="A25" s="19">
        <v>5.24</v>
      </c>
      <c r="B25" s="19">
        <v>5</v>
      </c>
      <c r="C25" s="19">
        <v>120</v>
      </c>
      <c r="D25" s="19">
        <f t="shared" si="0"/>
        <v>600</v>
      </c>
      <c r="E25" s="19" t="s">
        <v>12</v>
      </c>
      <c r="F25" s="16" t="s">
        <v>47</v>
      </c>
    </row>
    <row r="26" spans="1:6" ht="33" customHeight="1" x14ac:dyDescent="0.25">
      <c r="A26" s="19">
        <v>5.24</v>
      </c>
      <c r="B26" s="19">
        <v>5</v>
      </c>
      <c r="C26" s="19">
        <v>120</v>
      </c>
      <c r="D26" s="19">
        <f t="shared" si="0"/>
        <v>600</v>
      </c>
      <c r="E26" s="19" t="s">
        <v>7</v>
      </c>
      <c r="F26" s="16" t="s">
        <v>47</v>
      </c>
    </row>
    <row r="27" spans="1:6" ht="33" customHeight="1" x14ac:dyDescent="0.25">
      <c r="A27" s="19">
        <v>5.25</v>
      </c>
      <c r="B27" s="19">
        <v>7</v>
      </c>
      <c r="C27" s="19">
        <v>120</v>
      </c>
      <c r="D27" s="19">
        <f t="shared" si="0"/>
        <v>840</v>
      </c>
      <c r="E27" s="19" t="s">
        <v>7</v>
      </c>
      <c r="F27" s="16" t="s">
        <v>47</v>
      </c>
    </row>
    <row r="28" spans="1:6" ht="33" customHeight="1" x14ac:dyDescent="0.25">
      <c r="A28" s="19">
        <v>5.25</v>
      </c>
      <c r="B28" s="19">
        <v>6</v>
      </c>
      <c r="C28" s="19">
        <v>120</v>
      </c>
      <c r="D28" s="19">
        <f t="shared" si="0"/>
        <v>720</v>
      </c>
      <c r="E28" s="20" t="s">
        <v>13</v>
      </c>
      <c r="F28" s="16" t="s">
        <v>47</v>
      </c>
    </row>
    <row r="29" spans="1:6" ht="33" customHeight="1" x14ac:dyDescent="0.25">
      <c r="A29" s="18" t="s">
        <v>19</v>
      </c>
      <c r="B29" s="19">
        <v>3</v>
      </c>
      <c r="C29" s="19">
        <v>120</v>
      </c>
      <c r="D29" s="19">
        <f t="shared" si="0"/>
        <v>360</v>
      </c>
      <c r="E29" s="19" t="s">
        <v>14</v>
      </c>
      <c r="F29" s="16" t="s">
        <v>47</v>
      </c>
    </row>
    <row r="30" spans="1:6" ht="33" customHeight="1" x14ac:dyDescent="0.25">
      <c r="A30" s="18" t="s">
        <v>20</v>
      </c>
      <c r="B30" s="19">
        <v>2</v>
      </c>
      <c r="C30" s="19">
        <v>120</v>
      </c>
      <c r="D30" s="19">
        <f t="shared" si="0"/>
        <v>240</v>
      </c>
      <c r="E30" s="19" t="s">
        <v>15</v>
      </c>
      <c r="F30" s="16" t="s">
        <v>47</v>
      </c>
    </row>
    <row r="31" spans="1:6" ht="33" customHeight="1" x14ac:dyDescent="0.25">
      <c r="A31" s="16"/>
      <c r="B31" s="16"/>
      <c r="C31" s="16"/>
      <c r="D31" s="16" t="s">
        <v>18</v>
      </c>
      <c r="E31" s="16"/>
      <c r="F31" s="16"/>
    </row>
    <row r="32" spans="1:6" ht="33" customHeight="1" x14ac:dyDescent="0.25">
      <c r="A32" s="21"/>
      <c r="B32" s="21"/>
      <c r="C32" s="21"/>
      <c r="D32" s="21">
        <f>SUM(D16:D30)</f>
        <v>8880</v>
      </c>
      <c r="E32" s="21"/>
      <c r="F32" s="21"/>
    </row>
    <row r="33" spans="1:6" ht="33" customHeight="1" x14ac:dyDescent="0.25">
      <c r="A33" s="21"/>
      <c r="B33" s="21"/>
      <c r="C33" s="21"/>
      <c r="D33" s="21">
        <f>D32+D15</f>
        <v>16920</v>
      </c>
      <c r="E33" s="21"/>
      <c r="F33" s="21"/>
    </row>
  </sheetData>
  <mergeCells count="1">
    <mergeCell ref="A1:F1"/>
  </mergeCells>
  <phoneticPr fontId="1" type="noConversion"/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Sheet2</vt:lpstr>
      <vt:lpstr>真实清单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P1368</dc:creator>
  <cp:lastModifiedBy>P13685877064@outlook.com</cp:lastModifiedBy>
  <dcterms:created xsi:type="dcterms:W3CDTF">2015-06-05T18:19:34Z</dcterms:created>
  <dcterms:modified xsi:type="dcterms:W3CDTF">2026-06-20T01:45:52Z</dcterms:modified>
</cp:coreProperties>
</file>