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党参苗采购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¥#,##0.00"/>
    <numFmt numFmtId="165" formatCode="0.0%"/>
    <numFmt numFmtId="166" formatCode="#,##0.00 &quot;kg&quot;"/>
    <numFmt numFmtId="167" formatCode="¥0.00 &quot;/kg&quot;"/>
    <numFmt numFmtId="168" formatCode="¥0.00"/>
  </numFmts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10"/>
    </font>
    <font>
      <name val="Arial"/>
      <b val="1"/>
      <sz val="12"/>
    </font>
    <font>
      <name val="Arial"/>
      <b val="1"/>
      <color rgb="00FFFFFF"/>
      <sz val="12"/>
    </font>
    <font>
      <name val="Arial"/>
      <sz val="11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4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6" fillId="5" borderId="0" pivotButton="0" quotePrefix="0" xfId="0"/>
    <xf numFmtId="1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168" fontId="5" fillId="3" borderId="1" applyAlignment="1" pivotButton="0" quotePrefix="0" xfId="0">
      <alignment horizontal="center" vertical="center"/>
    </xf>
    <xf numFmtId="168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4" customWidth="1" min="4" max="4"/>
    <col width="14" customWidth="1" min="5" max="5"/>
    <col width="16" customWidth="1" min="6" max="6"/>
    <col width="12" customWidth="1" min="7" max="7"/>
  </cols>
  <sheetData>
    <row r="1" ht="30" customHeight="1">
      <c r="A1" s="1" t="inlineStr">
        <is>
          <t>党参苗子采购发票统计表</t>
        </is>
      </c>
    </row>
    <row r="2">
      <c r="A2" s="2" t="inlineStr">
        <is>
          <t>开票日期：2026年03月23日 | 购买方：凉山州五源兴农业科技有限公司</t>
        </is>
      </c>
    </row>
    <row r="4">
      <c r="A4" s="3" t="inlineStr">
        <is>
          <t>一、按供应商汇总</t>
        </is>
      </c>
    </row>
    <row r="5">
      <c r="A5" s="4" t="inlineStr">
        <is>
          <t>供应商</t>
        </is>
      </c>
      <c r="B5" s="4" t="inlineStr">
        <is>
          <t>发票数</t>
        </is>
      </c>
      <c r="C5" s="4" t="inlineStr">
        <is>
          <t>单价(元/kg)</t>
        </is>
      </c>
      <c r="D5" s="4" t="inlineStr">
        <is>
          <t>每票数量(kg)</t>
        </is>
      </c>
      <c r="E5" s="4" t="inlineStr">
        <is>
          <t>总数量(kg)</t>
        </is>
      </c>
      <c r="F5" s="4" t="inlineStr">
        <is>
          <t>总金额(元)</t>
        </is>
      </c>
      <c r="G5" s="4" t="inlineStr">
        <is>
          <t>金额占比</t>
        </is>
      </c>
    </row>
    <row r="6">
      <c r="A6" s="5" t="inlineStr">
        <is>
          <t>谢想红</t>
        </is>
      </c>
      <c r="B6" s="6" t="n">
        <v>7</v>
      </c>
      <c r="C6" s="7" t="n">
        <v>40.5</v>
      </c>
      <c r="D6" s="7" t="n">
        <v>246</v>
      </c>
      <c r="E6" s="7">
        <f>C6*E6</f>
        <v/>
      </c>
      <c r="F6" s="8">
        <f>D6*E6</f>
        <v/>
      </c>
      <c r="G6" s="9" t="inlineStr"/>
    </row>
    <row r="7">
      <c r="A7" s="5" t="inlineStr">
        <is>
          <t>杨德魁</t>
        </is>
      </c>
      <c r="B7" s="6" t="n">
        <v>13</v>
      </c>
      <c r="C7" s="7" t="n">
        <v>40.5</v>
      </c>
      <c r="D7" s="7" t="n">
        <v>246</v>
      </c>
      <c r="E7" s="7">
        <f>C7*E7</f>
        <v/>
      </c>
      <c r="F7" s="8">
        <f>D7*E7</f>
        <v/>
      </c>
      <c r="G7" s="9" t="inlineStr"/>
    </row>
    <row r="8">
      <c r="A8" s="5" t="inlineStr">
        <is>
          <t>闫长毛（¥40.5档）</t>
        </is>
      </c>
      <c r="B8" s="6" t="n">
        <v>2</v>
      </c>
      <c r="C8" s="7" t="n">
        <v>40.5</v>
      </c>
      <c r="D8" s="7" t="n">
        <v>246</v>
      </c>
      <c r="E8" s="7">
        <f>C8*E8</f>
        <v/>
      </c>
      <c r="F8" s="8">
        <f>D8*E8</f>
        <v/>
      </c>
      <c r="G8" s="9" t="inlineStr"/>
    </row>
    <row r="9">
      <c r="A9" s="5" t="inlineStr">
        <is>
          <t>小计（¥40.5档）</t>
        </is>
      </c>
      <c r="B9" s="6">
        <f>SUM(B6:B8)</f>
        <v/>
      </c>
      <c r="C9" s="6" t="n">
        <v>40.5</v>
      </c>
      <c r="D9" s="6" t="inlineStr"/>
      <c r="E9" s="6">
        <f>SUM(E6:E8)</f>
        <v/>
      </c>
      <c r="F9" s="8">
        <f>SUM(F6:F8)</f>
        <v/>
      </c>
      <c r="G9" s="9">
        <f>F9/F15</f>
        <v/>
      </c>
    </row>
    <row r="10">
      <c r="A10" s="10" t="inlineStr">
        <is>
          <t>杨小军</t>
        </is>
      </c>
      <c r="B10" s="11" t="n">
        <v>6</v>
      </c>
      <c r="C10" s="12" t="n">
        <v>38.5</v>
      </c>
      <c r="D10" s="12" t="n">
        <v>255</v>
      </c>
      <c r="E10" s="12">
        <f>C11*E11</f>
        <v/>
      </c>
      <c r="F10" s="13">
        <f>D11*E11</f>
        <v/>
      </c>
      <c r="G10" s="14" t="inlineStr"/>
    </row>
    <row r="11">
      <c r="A11" s="15" t="inlineStr">
        <is>
          <t>王秀英</t>
        </is>
      </c>
      <c r="B11" s="16" t="n">
        <v>7</v>
      </c>
      <c r="C11" s="17" t="n">
        <v>38.5</v>
      </c>
      <c r="D11" s="17" t="n">
        <v>258</v>
      </c>
      <c r="E11" s="17">
        <f>C12*E12</f>
        <v/>
      </c>
      <c r="F11" s="18">
        <f>D12*E12</f>
        <v/>
      </c>
      <c r="G11" s="19" t="inlineStr"/>
    </row>
    <row r="12">
      <c r="A12" s="15" t="inlineStr">
        <is>
          <t>闫长毛（¥38.5档）</t>
        </is>
      </c>
      <c r="B12" s="16" t="n">
        <v>4</v>
      </c>
      <c r="C12" s="17" t="n">
        <v>38.5</v>
      </c>
      <c r="D12" s="17" t="n">
        <v>256</v>
      </c>
      <c r="E12" s="17">
        <f>C13*E13</f>
        <v/>
      </c>
      <c r="F12" s="18">
        <f>D13*E13</f>
        <v/>
      </c>
      <c r="G12" s="19" t="inlineStr"/>
    </row>
    <row r="13">
      <c r="A13" s="15" t="inlineStr">
        <is>
          <t>小计（¥38.5档）</t>
        </is>
      </c>
      <c r="B13" s="16">
        <f>SUM(B11:B13)</f>
        <v/>
      </c>
      <c r="C13" s="17" t="n">
        <v>38.5</v>
      </c>
      <c r="D13" s="17" t="inlineStr"/>
      <c r="E13" s="17">
        <f>SUM(E11:E13)</f>
        <v/>
      </c>
      <c r="F13" s="18">
        <f>SUM(F11:F13)</f>
        <v/>
      </c>
      <c r="G13" s="19">
        <f>F14/F15</f>
        <v/>
      </c>
    </row>
    <row r="14">
      <c r="A14" s="15" t="inlineStr">
        <is>
          <t>合计</t>
        </is>
      </c>
      <c r="B14" s="16">
        <f>B9+B14</f>
        <v/>
      </c>
      <c r="C14" s="16" t="inlineStr"/>
      <c r="D14" s="16" t="inlineStr"/>
      <c r="E14" s="16">
        <f>E9+E14</f>
        <v/>
      </c>
      <c r="F14" s="18">
        <f>F9+F14</f>
        <v/>
      </c>
      <c r="G14" s="19" t="inlineStr">
        <is>
          <t>100%</t>
        </is>
      </c>
    </row>
    <row r="15">
      <c r="A15" s="20" t="n"/>
      <c r="B15" s="20" t="n"/>
      <c r="C15" s="20" t="n"/>
      <c r="D15" s="20" t="n"/>
      <c r="E15" s="20" t="n"/>
      <c r="F15" s="20" t="n"/>
      <c r="G15" s="20" t="n"/>
    </row>
    <row r="17">
      <c r="A17" s="3" t="inlineStr">
        <is>
          <t>二、综合统计</t>
        </is>
      </c>
    </row>
    <row r="18">
      <c r="A18" s="4" t="inlineStr">
        <is>
          <t>项目</t>
        </is>
      </c>
      <c r="B18" s="4" t="inlineStr">
        <is>
          <t>数值</t>
        </is>
      </c>
      <c r="C18" s="4" t="inlineStr"/>
      <c r="D18" s="4" t="inlineStr"/>
    </row>
    <row r="19">
      <c r="A19" s="10" t="inlineStr">
        <is>
          <t>发票总数</t>
        </is>
      </c>
      <c r="B19" s="21">
        <f>B15</f>
        <v/>
      </c>
      <c r="C19" s="11" t="inlineStr"/>
      <c r="D19" s="11" t="inlineStr"/>
    </row>
    <row r="20">
      <c r="A20" s="10" t="inlineStr">
        <is>
          <t>总采购金额</t>
        </is>
      </c>
      <c r="B20" s="21">
        <f>F15</f>
        <v/>
      </c>
      <c r="C20" s="11" t="inlineStr"/>
      <c r="D20" s="11" t="inlineStr"/>
    </row>
    <row r="21">
      <c r="A21" s="10" t="inlineStr">
        <is>
          <t>总采购数量</t>
        </is>
      </c>
      <c r="B21" s="22">
        <f>E15</f>
        <v/>
      </c>
      <c r="C21" s="11" t="inlineStr"/>
      <c r="D21" s="11" t="inlineStr"/>
    </row>
    <row r="22">
      <c r="A22" s="10" t="inlineStr">
        <is>
          <t>综合平均单价</t>
        </is>
      </c>
      <c r="B22" s="23">
        <f>F15/E15</f>
        <v/>
      </c>
      <c r="C22" s="11" t="inlineStr"/>
      <c r="D22" s="11" t="inlineStr"/>
    </row>
    <row r="23">
      <c r="A23" s="10" t="inlineStr">
        <is>
          <t>最高单价</t>
        </is>
      </c>
      <c r="B23" s="23" t="n">
        <v>40.5</v>
      </c>
      <c r="C23" s="11" t="inlineStr"/>
      <c r="D23" s="11" t="inlineStr"/>
    </row>
    <row r="24">
      <c r="A24" s="10" t="inlineStr">
        <is>
          <t>最低单价</t>
        </is>
      </c>
      <c r="B24" s="23" t="n">
        <v>38.5</v>
      </c>
      <c r="C24" s="11" t="inlineStr"/>
      <c r="D24" s="11" t="inlineStr"/>
    </row>
    <row r="25">
      <c r="A25" s="10" t="inlineStr">
        <is>
          <t>价差</t>
        </is>
      </c>
      <c r="B25" s="23">
        <f>B22-B23</f>
        <v/>
      </c>
      <c r="C25" s="11" t="inlineStr"/>
      <c r="D25" s="11" t="inlineStr"/>
    </row>
    <row r="27">
      <c r="A27" s="3" t="inlineStr">
        <is>
          <t>三、发票明细清单</t>
        </is>
      </c>
    </row>
    <row r="28">
      <c r="A28" s="4" t="inlineStr">
        <is>
          <t>序号</t>
        </is>
      </c>
      <c r="B28" s="4" t="inlineStr">
        <is>
          <t>发票号码</t>
        </is>
      </c>
      <c r="C28" s="4" t="inlineStr">
        <is>
          <t>供应商</t>
        </is>
      </c>
      <c r="D28" s="4" t="inlineStr">
        <is>
          <t>数量(kg)</t>
        </is>
      </c>
      <c r="E28" s="4" t="inlineStr">
        <is>
          <t>单价(元/kg)</t>
        </is>
      </c>
      <c r="F28" s="4" t="inlineStr">
        <is>
          <t>金额(元)</t>
        </is>
      </c>
    </row>
    <row r="29">
      <c r="A29" s="11" t="n">
        <v>1</v>
      </c>
      <c r="B29" s="11" t="inlineStr">
        <is>
          <t>26622000000195893626</t>
        </is>
      </c>
      <c r="C29" s="10" t="inlineStr">
        <is>
          <t>谢想红</t>
        </is>
      </c>
      <c r="D29" s="12" t="n">
        <v>246</v>
      </c>
      <c r="E29" s="24" t="n">
        <v>40.5</v>
      </c>
      <c r="F29" s="13" t="n">
        <v>9963</v>
      </c>
    </row>
    <row r="30">
      <c r="A30" s="11" t="n">
        <v>2</v>
      </c>
      <c r="B30" s="11" t="inlineStr">
        <is>
          <t>26622000000197156881</t>
        </is>
      </c>
      <c r="C30" s="10" t="inlineStr">
        <is>
          <t>杨德魁</t>
        </is>
      </c>
      <c r="D30" s="12" t="n">
        <v>246</v>
      </c>
      <c r="E30" s="24" t="n">
        <v>40.5</v>
      </c>
      <c r="F30" s="13" t="n">
        <v>9963</v>
      </c>
    </row>
    <row r="31">
      <c r="A31" s="11" t="n">
        <v>3</v>
      </c>
      <c r="B31" s="11" t="inlineStr">
        <is>
          <t>26622000000196432801</t>
        </is>
      </c>
      <c r="C31" s="10" t="inlineStr">
        <is>
          <t>杨德魁</t>
        </is>
      </c>
      <c r="D31" s="12" t="n">
        <v>246</v>
      </c>
      <c r="E31" s="24" t="n">
        <v>40.5</v>
      </c>
      <c r="F31" s="13" t="n">
        <v>9963</v>
      </c>
    </row>
    <row r="32">
      <c r="A32" s="11" t="n">
        <v>4</v>
      </c>
      <c r="B32" s="11" t="inlineStr">
        <is>
          <t>26622000000196432081</t>
        </is>
      </c>
      <c r="C32" s="10" t="inlineStr">
        <is>
          <t>杨德魁</t>
        </is>
      </c>
      <c r="D32" s="12" t="n">
        <v>246</v>
      </c>
      <c r="E32" s="24" t="n">
        <v>40.5</v>
      </c>
      <c r="F32" s="13" t="n">
        <v>9963</v>
      </c>
    </row>
    <row r="33">
      <c r="A33" s="11" t="n">
        <v>5</v>
      </c>
      <c r="B33" s="11" t="inlineStr">
        <is>
          <t>26622000000196725181</t>
        </is>
      </c>
      <c r="C33" s="10" t="inlineStr">
        <is>
          <t>杨德魁</t>
        </is>
      </c>
      <c r="D33" s="12" t="n">
        <v>246</v>
      </c>
      <c r="E33" s="24" t="n">
        <v>40.5</v>
      </c>
      <c r="F33" s="13" t="n">
        <v>9963</v>
      </c>
    </row>
    <row r="34">
      <c r="A34" s="11" t="n">
        <v>6</v>
      </c>
      <c r="B34" s="11" t="inlineStr">
        <is>
          <t>26622000000196141831</t>
        </is>
      </c>
      <c r="C34" s="10" t="inlineStr">
        <is>
          <t>杨德魁</t>
        </is>
      </c>
      <c r="D34" s="12" t="n">
        <v>246</v>
      </c>
      <c r="E34" s="24" t="n">
        <v>40.5</v>
      </c>
      <c r="F34" s="13" t="n">
        <v>9963</v>
      </c>
    </row>
    <row r="35">
      <c r="A35" s="11" t="n">
        <v>7</v>
      </c>
      <c r="B35" s="11" t="inlineStr">
        <is>
          <t>26622000000196575571</t>
        </is>
      </c>
      <c r="C35" s="10" t="inlineStr">
        <is>
          <t>杨德魁</t>
        </is>
      </c>
      <c r="D35" s="12" t="n">
        <v>246</v>
      </c>
      <c r="E35" s="24" t="n">
        <v>40.5</v>
      </c>
      <c r="F35" s="13" t="n">
        <v>9963</v>
      </c>
    </row>
    <row r="36">
      <c r="A36" s="11" t="n">
        <v>8</v>
      </c>
      <c r="B36" s="11" t="inlineStr">
        <is>
          <t>26622000000197005501</t>
        </is>
      </c>
      <c r="C36" s="10" t="inlineStr">
        <is>
          <t>杨德魁</t>
        </is>
      </c>
      <c r="D36" s="12" t="n">
        <v>246</v>
      </c>
      <c r="E36" s="24" t="n">
        <v>40.5</v>
      </c>
      <c r="F36" s="13" t="n">
        <v>9963</v>
      </c>
    </row>
    <row r="37">
      <c r="A37" s="11" t="n">
        <v>9</v>
      </c>
      <c r="B37" s="11" t="inlineStr">
        <is>
          <t>26622000000196809736</t>
        </is>
      </c>
      <c r="C37" s="10" t="inlineStr">
        <is>
          <t>谢想红</t>
        </is>
      </c>
      <c r="D37" s="12" t="n">
        <v>246</v>
      </c>
      <c r="E37" s="24" t="n">
        <v>40.5</v>
      </c>
      <c r="F37" s="13" t="n">
        <v>9963</v>
      </c>
    </row>
    <row r="38">
      <c r="A38" s="11" t="n">
        <v>10</v>
      </c>
      <c r="B38" s="11" t="inlineStr">
        <is>
          <t>26622000000196044016</t>
        </is>
      </c>
      <c r="C38" s="10" t="inlineStr">
        <is>
          <t>谢想红</t>
        </is>
      </c>
      <c r="D38" s="12" t="n">
        <v>246</v>
      </c>
      <c r="E38" s="24" t="n">
        <v>40.5</v>
      </c>
      <c r="F38" s="13" t="n">
        <v>9963</v>
      </c>
    </row>
    <row r="39">
      <c r="A39" s="11" t="n">
        <v>11</v>
      </c>
      <c r="B39" s="11" t="inlineStr">
        <is>
          <t>26622000000196808491</t>
        </is>
      </c>
      <c r="C39" s="10" t="inlineStr">
        <is>
          <t>谢想红</t>
        </is>
      </c>
      <c r="D39" s="12" t="n">
        <v>246</v>
      </c>
      <c r="E39" s="24" t="n">
        <v>40.5</v>
      </c>
      <c r="F39" s="13" t="n">
        <v>9963</v>
      </c>
    </row>
    <row r="40">
      <c r="A40" s="11" t="n">
        <v>12</v>
      </c>
      <c r="B40" s="11" t="inlineStr">
        <is>
          <t>26622000000196218916</t>
        </is>
      </c>
      <c r="C40" s="10" t="inlineStr">
        <is>
          <t>谢想红</t>
        </is>
      </c>
      <c r="D40" s="12" t="n">
        <v>246</v>
      </c>
      <c r="E40" s="24" t="n">
        <v>40.5</v>
      </c>
      <c r="F40" s="13" t="n">
        <v>9963</v>
      </c>
    </row>
    <row r="41">
      <c r="A41" s="11" t="n">
        <v>13</v>
      </c>
      <c r="B41" s="11" t="inlineStr">
        <is>
          <t>26622000000196511686</t>
        </is>
      </c>
      <c r="C41" s="10" t="inlineStr">
        <is>
          <t>谢想红</t>
        </is>
      </c>
      <c r="D41" s="12" t="n">
        <v>246</v>
      </c>
      <c r="E41" s="24" t="n">
        <v>40.5</v>
      </c>
      <c r="F41" s="13" t="n">
        <v>9963</v>
      </c>
    </row>
    <row r="42">
      <c r="A42" s="11" t="n">
        <v>14</v>
      </c>
      <c r="B42" s="11" t="inlineStr">
        <is>
          <t>26622000000196659871</t>
        </is>
      </c>
      <c r="C42" s="10" t="inlineStr">
        <is>
          <t>谢想红</t>
        </is>
      </c>
      <c r="D42" s="12" t="n">
        <v>246</v>
      </c>
      <c r="E42" s="24" t="n">
        <v>40.5</v>
      </c>
      <c r="F42" s="13" t="n">
        <v>9963</v>
      </c>
    </row>
    <row r="43">
      <c r="A43" s="11" t="n">
        <v>15</v>
      </c>
      <c r="B43" s="11" t="inlineStr">
        <is>
          <t>26622000000195594976</t>
        </is>
      </c>
      <c r="C43" s="10" t="inlineStr">
        <is>
          <t>杨小军</t>
        </is>
      </c>
      <c r="D43" s="12" t="n">
        <v>255</v>
      </c>
      <c r="E43" s="25" t="n">
        <v>38.5</v>
      </c>
      <c r="F43" s="13" t="n">
        <v>9817.5</v>
      </c>
    </row>
    <row r="44">
      <c r="A44" s="11" t="n">
        <v>16</v>
      </c>
      <c r="B44" s="11" t="inlineStr">
        <is>
          <t>26622000000196026181</t>
        </is>
      </c>
      <c r="C44" s="10" t="inlineStr">
        <is>
          <t>杨小军</t>
        </is>
      </c>
      <c r="D44" s="12" t="n">
        <v>255</v>
      </c>
      <c r="E44" s="25" t="n">
        <v>38.5</v>
      </c>
      <c r="F44" s="13" t="n">
        <v>9817.5</v>
      </c>
    </row>
    <row r="45">
      <c r="A45" s="11" t="n">
        <v>17</v>
      </c>
      <c r="B45" s="11" t="inlineStr">
        <is>
          <t>26622000000195739936</t>
        </is>
      </c>
      <c r="C45" s="10" t="inlineStr">
        <is>
          <t>杨小军</t>
        </is>
      </c>
      <c r="D45" s="12" t="n">
        <v>255</v>
      </c>
      <c r="E45" s="25" t="n">
        <v>38.5</v>
      </c>
      <c r="F45" s="13" t="n">
        <v>9817.5</v>
      </c>
    </row>
    <row r="46">
      <c r="A46" s="11" t="n">
        <v>18</v>
      </c>
      <c r="B46" s="11" t="inlineStr">
        <is>
          <t>26622000000195444661</t>
        </is>
      </c>
      <c r="C46" s="10" t="inlineStr">
        <is>
          <t>杨小军</t>
        </is>
      </c>
      <c r="D46" s="12" t="n">
        <v>255</v>
      </c>
      <c r="E46" s="25" t="n">
        <v>38.5</v>
      </c>
      <c r="F46" s="13" t="n">
        <v>9817.5</v>
      </c>
    </row>
    <row r="47">
      <c r="A47" s="11" t="n">
        <v>19</v>
      </c>
      <c r="B47" s="11" t="inlineStr">
        <is>
          <t>26622000000195148726</t>
        </is>
      </c>
      <c r="C47" s="10" t="inlineStr">
        <is>
          <t>杨小军</t>
        </is>
      </c>
      <c r="D47" s="12" t="n">
        <v>255</v>
      </c>
      <c r="E47" s="25" t="n">
        <v>38.5</v>
      </c>
      <c r="F47" s="13" t="n">
        <v>9817.5</v>
      </c>
    </row>
    <row r="48">
      <c r="A48" s="11" t="n">
        <v>20</v>
      </c>
      <c r="B48" s="11" t="inlineStr">
        <is>
          <t>26622000000195294106</t>
        </is>
      </c>
      <c r="C48" s="10" t="inlineStr">
        <is>
          <t>杨小军</t>
        </is>
      </c>
      <c r="D48" s="12" t="n">
        <v>255</v>
      </c>
      <c r="E48" s="25" t="n">
        <v>38.5</v>
      </c>
      <c r="F48" s="13" t="n">
        <v>9817.5</v>
      </c>
    </row>
    <row r="49">
      <c r="A49" s="11" t="n">
        <v>21</v>
      </c>
      <c r="B49" s="11" t="inlineStr">
        <is>
          <t>26622000000196008061</t>
        </is>
      </c>
      <c r="C49" s="10" t="inlineStr">
        <is>
          <t>王秀英</t>
        </is>
      </c>
      <c r="D49" s="12" t="n">
        <v>258.5</v>
      </c>
      <c r="E49" s="25" t="n">
        <v>38.5</v>
      </c>
      <c r="F49" s="13" t="n">
        <v>9952.25</v>
      </c>
    </row>
    <row r="50">
      <c r="A50" s="11" t="n">
        <v>22</v>
      </c>
      <c r="B50" s="11" t="inlineStr">
        <is>
          <t>26622000000195716386</t>
        </is>
      </c>
      <c r="C50" s="10" t="inlineStr">
        <is>
          <t>王秀英</t>
        </is>
      </c>
      <c r="D50" s="12" t="n">
        <v>258.5</v>
      </c>
      <c r="E50" s="25" t="n">
        <v>38.5</v>
      </c>
      <c r="F50" s="13" t="n">
        <v>9952.25</v>
      </c>
    </row>
    <row r="51">
      <c r="A51" s="11" t="n">
        <v>23</v>
      </c>
      <c r="B51" s="11" t="inlineStr">
        <is>
          <t>26622000000195715711</t>
        </is>
      </c>
      <c r="C51" s="10" t="inlineStr">
        <is>
          <t>王秀英</t>
        </is>
      </c>
      <c r="D51" s="12" t="n">
        <v>258.5</v>
      </c>
      <c r="E51" s="25" t="n">
        <v>38.5</v>
      </c>
      <c r="F51" s="13" t="n">
        <v>9952.25</v>
      </c>
    </row>
    <row r="52">
      <c r="A52" s="11" t="n">
        <v>24</v>
      </c>
      <c r="B52" s="11" t="inlineStr">
        <is>
          <t>26622000000195420526</t>
        </is>
      </c>
      <c r="C52" s="10" t="inlineStr">
        <is>
          <t>王秀英</t>
        </is>
      </c>
      <c r="D52" s="12" t="n">
        <v>258.5</v>
      </c>
      <c r="E52" s="25" t="n">
        <v>38.5</v>
      </c>
      <c r="F52" s="13" t="n">
        <v>9952.25</v>
      </c>
    </row>
    <row r="53">
      <c r="A53" s="11" t="n">
        <v>25</v>
      </c>
      <c r="B53" s="11" t="inlineStr">
        <is>
          <t>26622000000195998011</t>
        </is>
      </c>
      <c r="C53" s="10" t="inlineStr">
        <is>
          <t>王秀英</t>
        </is>
      </c>
      <c r="D53" s="12" t="n">
        <v>258</v>
      </c>
      <c r="E53" s="25" t="n">
        <v>38.5</v>
      </c>
      <c r="F53" s="13" t="n">
        <v>9933</v>
      </c>
    </row>
    <row r="54">
      <c r="A54" s="11" t="n">
        <v>26</v>
      </c>
      <c r="B54" s="11" t="inlineStr">
        <is>
          <t>26622000000195123136</t>
        </is>
      </c>
      <c r="C54" s="10" t="inlineStr">
        <is>
          <t>王秀英</t>
        </is>
      </c>
      <c r="D54" s="12" t="n">
        <v>258</v>
      </c>
      <c r="E54" s="25" t="n">
        <v>38.5</v>
      </c>
      <c r="F54" s="13" t="n">
        <v>9933</v>
      </c>
    </row>
    <row r="55">
      <c r="A55" s="11" t="n">
        <v>27</v>
      </c>
      <c r="B55" s="11" t="inlineStr">
        <is>
          <t>26622000000195712171</t>
        </is>
      </c>
      <c r="C55" s="10" t="inlineStr">
        <is>
          <t>王秀英</t>
        </is>
      </c>
      <c r="D55" s="12" t="n">
        <v>258</v>
      </c>
      <c r="E55" s="25" t="n">
        <v>38.5</v>
      </c>
      <c r="F55" s="13" t="n">
        <v>9933</v>
      </c>
    </row>
    <row r="56">
      <c r="A56" s="11" t="n">
        <v>28</v>
      </c>
      <c r="B56" s="11" t="inlineStr">
        <is>
          <t>26622000000195104296</t>
        </is>
      </c>
      <c r="C56" s="10" t="inlineStr">
        <is>
          <t>闫长毛</t>
        </is>
      </c>
      <c r="D56" s="12" t="n">
        <v>259</v>
      </c>
      <c r="E56" s="25" t="n">
        <v>38.5</v>
      </c>
      <c r="F56" s="13" t="n">
        <v>9971.5</v>
      </c>
    </row>
    <row r="57">
      <c r="A57" s="11" t="n">
        <v>29</v>
      </c>
      <c r="B57" s="11" t="inlineStr">
        <is>
          <t>26622000000195398161</t>
        </is>
      </c>
      <c r="C57" s="10" t="inlineStr">
        <is>
          <t>闫长毛</t>
        </is>
      </c>
      <c r="D57" s="12" t="n">
        <v>259</v>
      </c>
      <c r="E57" s="25" t="n">
        <v>38.5</v>
      </c>
      <c r="F57" s="13" t="n">
        <v>9971.5</v>
      </c>
    </row>
    <row r="58">
      <c r="A58" s="11" t="n">
        <v>30</v>
      </c>
      <c r="B58" s="11" t="inlineStr">
        <is>
          <t>26622000000195254176</t>
        </is>
      </c>
      <c r="C58" s="10" t="inlineStr">
        <is>
          <t>闫长毛</t>
        </is>
      </c>
      <c r="D58" s="12" t="n">
        <v>259</v>
      </c>
      <c r="E58" s="25" t="n">
        <v>38.5</v>
      </c>
      <c r="F58" s="13" t="n">
        <v>9971.5</v>
      </c>
    </row>
    <row r="59">
      <c r="A59" s="11" t="n">
        <v>31</v>
      </c>
      <c r="B59" s="11" t="inlineStr">
        <is>
          <t>26622000000195544276</t>
        </is>
      </c>
      <c r="C59" s="10" t="inlineStr">
        <is>
          <t>闫长毛</t>
        </is>
      </c>
      <c r="D59" s="12" t="n">
        <v>256</v>
      </c>
      <c r="E59" s="25" t="n">
        <v>38.5</v>
      </c>
      <c r="F59" s="13" t="n">
        <v>9856</v>
      </c>
    </row>
    <row r="60">
      <c r="A60" s="11" t="n">
        <v>32</v>
      </c>
      <c r="B60" s="11" t="inlineStr">
        <is>
          <t>26622000000196448506</t>
        </is>
      </c>
      <c r="C60" s="10" t="inlineStr">
        <is>
          <t>闫长毛</t>
        </is>
      </c>
      <c r="D60" s="12" t="n">
        <v>246</v>
      </c>
      <c r="E60" s="24" t="n">
        <v>40.5</v>
      </c>
      <c r="F60" s="13" t="n">
        <v>9963</v>
      </c>
    </row>
    <row r="61">
      <c r="A61" s="11" t="n">
        <v>33</v>
      </c>
      <c r="B61" s="11" t="inlineStr">
        <is>
          <t>26622000000195827341</t>
        </is>
      </c>
      <c r="C61" s="10" t="inlineStr">
        <is>
          <t>闫长毛</t>
        </is>
      </c>
      <c r="D61" s="12" t="n">
        <v>255</v>
      </c>
      <c r="E61" s="25" t="n">
        <v>38.5</v>
      </c>
      <c r="F61" s="13" t="n">
        <v>9817.5</v>
      </c>
    </row>
    <row r="62">
      <c r="A62" s="11" t="n">
        <v>34</v>
      </c>
      <c r="B62" s="11" t="inlineStr">
        <is>
          <t>26622000000195826636</t>
        </is>
      </c>
      <c r="C62" s="10" t="inlineStr">
        <is>
          <t>闫长毛</t>
        </is>
      </c>
      <c r="D62" s="12" t="n">
        <v>255</v>
      </c>
      <c r="E62" s="25" t="n">
        <v>38.5</v>
      </c>
      <c r="F62" s="13" t="n">
        <v>9817.5</v>
      </c>
    </row>
    <row r="63">
      <c r="A63" s="11" t="n">
        <v>35</v>
      </c>
      <c r="B63" s="11" t="inlineStr">
        <is>
          <t>26622000000196591111</t>
        </is>
      </c>
      <c r="C63" s="10" t="inlineStr">
        <is>
          <t>闫长毛</t>
        </is>
      </c>
      <c r="D63" s="12" t="n">
        <v>246</v>
      </c>
      <c r="E63" s="24" t="n">
        <v>40.5</v>
      </c>
      <c r="F63" s="13" t="n">
        <v>9963</v>
      </c>
    </row>
    <row r="64">
      <c r="A64" s="11" t="n">
        <v>36</v>
      </c>
      <c r="B64" s="11" t="inlineStr">
        <is>
          <t>26622000000196149706</t>
        </is>
      </c>
      <c r="C64" s="10" t="inlineStr">
        <is>
          <t>杨德魁</t>
        </is>
      </c>
      <c r="D64" s="12" t="n">
        <v>246</v>
      </c>
      <c r="E64" s="24" t="n">
        <v>40.5</v>
      </c>
      <c r="F64" s="13" t="n">
        <v>9963</v>
      </c>
    </row>
    <row r="65">
      <c r="A65" s="11" t="n">
        <v>37</v>
      </c>
      <c r="B65" s="11" t="inlineStr">
        <is>
          <t>26622000000197013346</t>
        </is>
      </c>
      <c r="C65" s="10" t="inlineStr">
        <is>
          <t>杨德魁</t>
        </is>
      </c>
      <c r="D65" s="12" t="n">
        <v>246</v>
      </c>
      <c r="E65" s="24" t="n">
        <v>40.5</v>
      </c>
      <c r="F65" s="13" t="n">
        <v>9963</v>
      </c>
    </row>
    <row r="66">
      <c r="A66" s="11" t="n">
        <v>38</v>
      </c>
      <c r="B66" s="11" t="inlineStr">
        <is>
          <t>26622000000196580596</t>
        </is>
      </c>
      <c r="C66" s="10" t="inlineStr">
        <is>
          <t>杨德魁</t>
        </is>
      </c>
      <c r="D66" s="12" t="n">
        <v>246</v>
      </c>
      <c r="E66" s="24" t="n">
        <v>40.5</v>
      </c>
      <c r="F66" s="13" t="n">
        <v>9963</v>
      </c>
    </row>
    <row r="67">
      <c r="A67" s="11" t="n">
        <v>39</v>
      </c>
      <c r="B67" s="11" t="inlineStr">
        <is>
          <t>26622000000196285006</t>
        </is>
      </c>
      <c r="C67" s="10" t="inlineStr">
        <is>
          <t>杨德魁</t>
        </is>
      </c>
      <c r="D67" s="12" t="n">
        <v>246</v>
      </c>
      <c r="E67" s="24" t="n">
        <v>40.5</v>
      </c>
      <c r="F67" s="13" t="n">
        <v>9963</v>
      </c>
    </row>
  </sheetData>
  <mergeCells count="5">
    <mergeCell ref="A17:D17"/>
    <mergeCell ref="A1:G1"/>
    <mergeCell ref="A27:F27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2026-04-02T11:14:19Z</dcterms:created>
  <dcterms:modified xmlns:dcterms="http://purl.org/dc/terms/" xmlns:xsi="http://www.w3.org/2001/XMLSchema-instance" xsi:type="dcterms:W3CDTF">2026-04-02T11:14:19Z</dcterms:modified>
</cp:coreProperties>
</file>